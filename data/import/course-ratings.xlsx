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Summary" sheetId="2" r:id="rId5"/>
    <sheet state="visible" name="Broadstone" sheetId="3" r:id="rId6"/>
    <sheet state="visible" name="Hayling" sheetId="4" r:id="rId7"/>
    <sheet state="visible" name="Aldeburgh" sheetId="5" r:id="rId8"/>
    <sheet state="visible" name="Tyrrells Wood" sheetId="6" r:id="rId9"/>
    <sheet state="visible" name="Luffenham" sheetId="7" r:id="rId10"/>
    <sheet state="visible" name="Saunton East" sheetId="8" r:id="rId11"/>
    <sheet state="visible" name="Saunton West" sheetId="9" r:id="rId12"/>
    <sheet state="visible" name="Oostende" sheetId="10" r:id="rId13"/>
    <sheet state="visible" name="Royal Zoute" sheetId="11" r:id="rId14"/>
    <sheet state="visible" name="West Sussex" sheetId="12" r:id="rId15"/>
    <sheet state="visible" name="East Brighton" sheetId="13" r:id="rId16"/>
    <sheet state="visible" name="Chobham" sheetId="14" r:id="rId17"/>
    <sheet state="visible" name="Hindhead" sheetId="15" r:id="rId18"/>
    <sheet state="visible" name="Camberley Heath" sheetId="16" r:id="rId19"/>
    <sheet state="visible" name="Royal St Davids" sheetId="17" r:id="rId20"/>
    <sheet state="visible" name="Royal Ashdown" sheetId="18" r:id="rId21"/>
    <sheet state="visible" name="West Hill" sheetId="19" r:id="rId22"/>
    <sheet state="visible" name="Swinley Forest" sheetId="20" r:id="rId23"/>
    <sheet state="visible" name="Pleasington" sheetId="21" r:id="rId24"/>
    <sheet state="visible" name="Carbrook" sheetId="22" r:id="rId25"/>
    <sheet state="visible" name="The Glades" sheetId="23" r:id="rId26"/>
    <sheet state="visible" name="Byron Bay" sheetId="24" r:id="rId27"/>
    <sheet state="visible" name="Brookwater" sheetId="25" r:id="rId28"/>
    <sheet state="visible" name="Royal Queensland" sheetId="26" r:id="rId29"/>
    <sheet state="visible" name="Hollinwell" sheetId="27" r:id="rId30"/>
    <sheet state="visible" name="Pastures" sheetId="28" r:id="rId31"/>
  </sheets>
  <definedNames>
    <definedName name="Location">Summary!#REF!</definedName>
    <definedName hidden="1" localSheetId="17" name="Z_8980FCA8_34B3_4B61_8014_9B2427F8150A_.wvu.FilterData">'Royal Ashdown'!$A$2:$C$8</definedName>
    <definedName hidden="1" localSheetId="21" name="Z_C156F3E6_5D01_4E18_B609_E7CAD61D1C42_.wvu.FilterData">Carbrook!$A$2:$C$8</definedName>
    <definedName hidden="1" localSheetId="12" name="Z_08AF1400_AE71_4241_A883_60022B33912B_.wvu.FilterData">'East Brighton'!$A$2:$C$8</definedName>
    <definedName hidden="1" localSheetId="11" name="Z_8376C646_BAD8_4937_A3A3_532E750F00E7_.wvu.FilterData">'West Sussex'!$E$2:$F$7</definedName>
    <definedName hidden="1" localSheetId="4" name="Z_61C1FE19_A632_493A_8294_BE796D1B98DF_.wvu.FilterData">Aldeburgh!$E$2:$F$7</definedName>
    <definedName hidden="1" localSheetId="0" name="Z_F8431DCA_4AC8_46FE_976C_5C50AB9AE850_.wvu.FilterData">Template!$E$2:$F$7</definedName>
    <definedName hidden="1" localSheetId="16" name="Z_8B63C6E5_EF48_4302_ADA2_B341CA8E73E6_.wvu.FilterData">'Royal St Davids'!$E$2:$F$7</definedName>
    <definedName hidden="1" localSheetId="27" name="Z_F5305A2C_AE05_4AB2_9915_3E9F1C8FE26A_.wvu.FilterData">Pastures!$E$2:$F$7</definedName>
    <definedName hidden="1" localSheetId="9" name="Z_835E18CC_2422_4E20_9881_C08DFF42D34F_.wvu.FilterData">Oostende!$A$2:$C$8</definedName>
    <definedName hidden="1" localSheetId="13" name="Z_F18E9105_B054_4CCB_B415_88F247AEE1A1_.wvu.FilterData">Chobham!$E$2:$F$7</definedName>
    <definedName hidden="1" localSheetId="17" name="Z_D03FEDF1_7BAA_4419_B69C_B07CCD9C4D1A_.wvu.FilterData">'Royal Ashdown'!$E$2:$F$7</definedName>
    <definedName hidden="1" localSheetId="22" name="Z_EE40829C_65BB_4E41_B9CC_F475B43E74AE_.wvu.FilterData">'The Glades'!$A$2:$C$8</definedName>
    <definedName hidden="1" localSheetId="12" name="Z_77D7C4BB_478E_4043_A706_4C622F02470E_.wvu.FilterData">'East Brighton'!$E$2:$F$7</definedName>
    <definedName hidden="1" localSheetId="8" name="Z_ABF581B3_C8FC_4097_8967_85CA8518CDDF_.wvu.FilterData">'Saunton West'!$E$2:$F$7</definedName>
    <definedName hidden="1" localSheetId="26" name="Z_5BEF52C2_DF4A_4017_ACCD_00F90AAE259F_.wvu.FilterData">Hollinwell!$E$2:$F$7</definedName>
    <definedName hidden="1" localSheetId="6" name="Z_4BBB2412_0005_4389_AFBA_0537BD970D3F_.wvu.FilterData">Luffenham!$A$2:$C$8</definedName>
    <definedName hidden="1" localSheetId="4" name="Z_7EE709F2_A6FA_4753_B94F_90AA3B7C4DCD_.wvu.FilterData">Aldeburgh!$A$2:$C$8</definedName>
    <definedName hidden="1" localSheetId="1" name="Z_ACB84D88_1FFC_44D7_8F8B_48641971515B_.wvu.FilterData">Summary!$A$1:$D$27</definedName>
    <definedName hidden="1" localSheetId="18" name="Z_4E6EF66D_D667_4A4B_B02B_2A19653471B4_.wvu.FilterData">'West Hill'!$E$2:$F$7</definedName>
    <definedName hidden="1" localSheetId="9" name="Z_A8A72652_2174_4AD9_956F_36E5606F6C39_.wvu.FilterData">Oostende!$E$2:$F$7</definedName>
    <definedName hidden="1" localSheetId="19" name="Z_D42054E1_E5FC_42CF_B842_8B855A47DA9A_.wvu.FilterData">'Swinley Forest'!$A$2:$C$8</definedName>
    <definedName hidden="1" localSheetId="26" name="Z_5ECE9606_447D_44C2_8599_3E87FD24FA44_.wvu.FilterData">Hollinwell!$A$2:$C$8</definedName>
    <definedName hidden="1" localSheetId="25" name="Z_362EFB3B_0A1C_4391_931F_582F8EB67F1E_.wvu.FilterData">'Royal Queensland'!$A$2:$C$8</definedName>
    <definedName hidden="1" localSheetId="6" name="Z_FCB7C278_750F_4C01_AB08_5169841B9483_.wvu.FilterData">Luffenham!$E$2:$F$7</definedName>
    <definedName hidden="1" localSheetId="3" name="Z_A6DE3FAE_6E44_4D5A_9D0F_643F180368AE_.wvu.FilterData">Hayling!$E$2:$F$7</definedName>
    <definedName hidden="1" localSheetId="14" name="Z_547B1EE9_6309_46AD_9C3F_358FE1106D5A_.wvu.FilterData">Hindhead!$A$2:$C$8</definedName>
    <definedName hidden="1" localSheetId="22" name="Z_81C0A7DE_26E5_40BB_B085_C5C4DDC0C9B3_.wvu.FilterData">'The Glades'!$E$2:$F$7</definedName>
    <definedName hidden="1" localSheetId="18" name="Z_045FF8CD_C4AE_419B_9406_D62EBDD4DB3C_.wvu.FilterData">'West Hill'!$A$2:$C$8</definedName>
    <definedName hidden="1" localSheetId="15" name="Z_32BB9BB2_0F81_456B_945A_6EC03652A21B_.wvu.FilterData">'Camberley Heath'!$A$2:$C$8</definedName>
    <definedName hidden="1" localSheetId="20" name="Z_4786E4E0_4AA1_433A_B462_DB212577D7BA_.wvu.FilterData">Pleasington!$A$2:$C$8</definedName>
    <definedName hidden="1" localSheetId="5" name="Z_90386528_E762_4BCC_B9D0_D9F5B1A1EDF7_.wvu.FilterData">'Tyrrells Wood'!$E$2:$F$7</definedName>
    <definedName hidden="1" localSheetId="23" name="Z_F6015004_40AE_4A57_B1AC_EC50A6136621_.wvu.FilterData">'Byron Bay'!$E$2:$F$7</definedName>
    <definedName hidden="1" localSheetId="24" name="Z_24A3D83E_1505_4A36_80A7_A2121CA0E816_.wvu.FilterData">Brookwater!$E$2:$F$7</definedName>
    <definedName hidden="1" localSheetId="15" name="Z_C4A362FE_B33B_4896_9B38_8C4B9069F9F7_.wvu.FilterData">'Camberley Heath'!$E$2:$F$7</definedName>
    <definedName hidden="1" localSheetId="16" name="Z_8162B8FA_825B_4B5B_B5B7_CFC43CEBE0A9_.wvu.FilterData">'Royal St Davids'!$A$2:$C$8</definedName>
    <definedName hidden="1" localSheetId="23" name="Z_9CE8B42A_F154_48E5_9362_C8656844455B_.wvu.FilterData">'Byron Bay'!$A$2:$C$8</definedName>
    <definedName hidden="1" localSheetId="25" name="Z_42010159_DF8B_4C8B_9F08_D4859ECA4034_.wvu.FilterData">'Royal Queensland'!$E$2:$F$7</definedName>
    <definedName hidden="1" localSheetId="7" name="Z_FF7A2EE9_93B1_4924_A723_BFDF53961162_.wvu.FilterData">'Saunton East'!$A$2:$C$8</definedName>
    <definedName hidden="1" localSheetId="24" name="Z_A92A60B9_F2F8_4B85_9B23_633A1E054FD2_.wvu.FilterData">Brookwater!$A$2:$C$8</definedName>
    <definedName hidden="1" localSheetId="11" name="Z_48A207BE_03A5_42CA_9C87_4E5DBD428763_.wvu.FilterData">'West Sussex'!$A$2:$C$8</definedName>
    <definedName hidden="1" localSheetId="7" name="Z_29C0690C_878D_4DB3_AD6C_F280F0C06EE7_.wvu.FilterData">'Saunton East'!$E$2:$F$7</definedName>
    <definedName hidden="1" localSheetId="5" name="Z_ACD72D3E_88D9_4805_8610_7400B18F3C90_.wvu.FilterData">'Tyrrells Wood'!$A$2:$C$8</definedName>
    <definedName hidden="1" localSheetId="2" name="Z_09B2533C_CAB9_4501_8878_6DF4F88985D7_.wvu.FilterData">Broadstone!$A$2:$C$8</definedName>
    <definedName hidden="1" localSheetId="19" name="Z_731D7F8B_708B_4B49_AAD7_70C80BFF2752_.wvu.FilterData">'Swinley Forest'!$E$2:$F$7</definedName>
    <definedName hidden="1" localSheetId="2" name="Z_52A1A3AB_5F3F_449D_AA6E_326D9E7B4D8D_.wvu.FilterData">Broadstone!$E$2:$F$7</definedName>
    <definedName hidden="1" localSheetId="10" name="Z_96D1D27E_F4DC_4A92_8B7E_3F498AE9AB3B_.wvu.FilterData">'Royal Zoute'!$E$2:$F$7</definedName>
    <definedName hidden="1" localSheetId="14" name="Z_9531ED74_29D5_4DB3_830B_ABC6E0CE6D44_.wvu.FilterData">Hindhead!$E$2:$F$7</definedName>
    <definedName hidden="1" localSheetId="3" name="Z_699604E0_9AC4_40EF_B30B_864983E6EC12_.wvu.FilterData">Hayling!$A$2:$C$8</definedName>
    <definedName hidden="1" localSheetId="13" name="Z_C46D81DC_D525_4046_838F_AD2D44F8F7E4_.wvu.FilterData">Chobham!$A$2:$C$8</definedName>
    <definedName hidden="1" localSheetId="0" name="Z_C5783448_EDF7_4F77_A2C0_646280CAE740_.wvu.FilterData">Template!$A$2:$C$8</definedName>
    <definedName hidden="1" localSheetId="21" name="Z_970D7C89_9235_45D3_9660_600C6359EB53_.wvu.FilterData">Carbrook!$E$2:$F$7</definedName>
    <definedName hidden="1" localSheetId="27" name="Z_3627D5A0_0F92_41EA_8F88_DB4C9D103CC6_.wvu.FilterData">Pastures!$A$2:$C$8</definedName>
    <definedName hidden="1" localSheetId="10" name="Z_76C3EF79_FE96_43F7_B17B_72B7FDCA05A3_.wvu.FilterData">'Royal Zoute'!$A$2:$C$8</definedName>
    <definedName hidden="1" localSheetId="8" name="Z_A318BC15_B225_4DAD_A0F3_D5FDBD1B5074_.wvu.FilterData">'Saunton West'!$A$2:$C$8</definedName>
    <definedName hidden="1" localSheetId="20" name="Z_30FDDEBA_BFF1_4488_803D_C7BF1779BA76_.wvu.FilterData">Pleasington!$E$2:$F$7</definedName>
  </definedNames>
  <calcPr/>
  <customWorkbookViews>
    <customWorkbookView activeSheetId="0" maximized="1" windowHeight="0" windowWidth="0" guid="{8980FCA8-34B3-4B61-8014-9B2427F8150A}" name="Table114 filter view"/>
    <customWorkbookView activeSheetId="0" maximized="1" windowHeight="0" windowWidth="0" guid="{C156F3E6-5D01-4E18-B609-E7CAD61D1C42}" name="Table133 filter view"/>
    <customWorkbookView activeSheetId="0" maximized="1" windowHeight="0" windowWidth="0" guid="{08AF1400-AE71-4241-A883-60022B33912B}" name="Table18 filter view"/>
    <customWorkbookView activeSheetId="0" maximized="1" windowHeight="0" windowWidth="0" guid="{8376C646-BAD8-4937-A3A3-532E750F00E7}" name="Table311 filter view"/>
    <customWorkbookView activeSheetId="0" maximized="1" windowHeight="0" windowWidth="0" guid="{61C1FE19-A632-493A-8294-BE796D1B98DF}" name="Table350 filter view"/>
    <customWorkbookView activeSheetId="0" maximized="1" windowHeight="0" windowWidth="0" guid="{F8431DCA-4AC8-46FE-976C-5C50AB9AE850}" name="Table3 filter view"/>
    <customWorkbookView activeSheetId="0" maximized="1" windowHeight="0" windowWidth="0" guid="{8B63C6E5-EF48-4302-ADA2-B341CA8E73E6}" name="Table34244 filter view"/>
    <customWorkbookView activeSheetId="0" maximized="1" windowHeight="0" windowWidth="0" guid="{F5305A2C-AE05-4AB2-9915-3E9F1C8FE26A}" name="Table352 filter view"/>
    <customWorkbookView activeSheetId="0" maximized="1" windowHeight="0" windowWidth="0" guid="{835E18CC-2422-4E20-9881-C08DFF42D34F}" name="Table121 filter view"/>
    <customWorkbookView activeSheetId="0" maximized="1" windowHeight="0" windowWidth="0" guid="{F18E9105-B054-4CCB-B415-88F247AEE1A1}" name="Table313 filter view"/>
    <customWorkbookView activeSheetId="0" maximized="1" windowHeight="0" windowWidth="0" guid="{D03FEDF1-7BAA-4419-B69C-B07CCD9C4D1A}" name="Table315 filter view"/>
    <customWorkbookView activeSheetId="0" maximized="1" windowHeight="0" windowWidth="0" guid="{EE40829C-65BB-4E41-B9CC-F475B43E74AE}" name="Table129 filter view"/>
    <customWorkbookView activeSheetId="0" maximized="1" windowHeight="0" windowWidth="0" guid="{77D7C4BB-478E-4043-A706-4C622F02470E}" name="Table39 filter view"/>
    <customWorkbookView activeSheetId="0" maximized="1" windowHeight="0" windowWidth="0" guid="{ABF581B3-C8FC-4097-8967-85CA8518CDDF}" name="Table336 filter view"/>
    <customWorkbookView activeSheetId="0" maximized="1" windowHeight="0" windowWidth="0" guid="{5BEF52C2-DF4A-4017-ACCD-00F90AAE259F}" name="Table348 filter view"/>
    <customWorkbookView activeSheetId="0" maximized="1" windowHeight="0" windowWidth="0" guid="{4BBB2412-0005-4389-AFBA-0537BD970D3F}" name="Table139 filter view"/>
    <customWorkbookView activeSheetId="0" maximized="1" windowHeight="0" windowWidth="0" guid="{7EE709F2-A6FA-4753-B94F-90AA3B7C4DCD}" name="Table149 filter view"/>
    <customWorkbookView activeSheetId="0" maximized="1" windowHeight="0" windowWidth="0" guid="{ACB84D88-1FFC-44D7-8F8B-48641971515B}" name="Table17 filter view"/>
    <customWorkbookView activeSheetId="0" maximized="1" windowHeight="0" windowWidth="0" guid="{4E6EF66D-D667-4A4B-B02B-2A19653471B4}" name="Table346 filter view"/>
    <customWorkbookView activeSheetId="0" maximized="1" windowHeight="0" windowWidth="0" guid="{A8A72652-2174-4AD9-956F-36E5606F6C39}" name="Table322 filter view"/>
    <customWorkbookView activeSheetId="0" maximized="1" windowHeight="0" windowWidth="0" guid="{D42054E1-E5FC-42CF-B842-8B855A47DA9A}" name="Table116 filter view"/>
    <customWorkbookView activeSheetId="0" maximized="1" windowHeight="0" windowWidth="0" guid="{5ECE9606-447D-44C2-8599-3E87FD24FA44}" name="Table147 filter view"/>
    <customWorkbookView activeSheetId="0" maximized="1" windowHeight="0" windowWidth="0" guid="{362EFB3B-0A1C-4391-931F-582F8EB67F1E}" name="Table127 filter view"/>
    <customWorkbookView activeSheetId="0" maximized="1" windowHeight="0" windowWidth="0" guid="{FCB7C278-750F-4C01-AB08-5169841B9483}" name="Table340 filter view"/>
    <customWorkbookView activeSheetId="0" maximized="1" windowHeight="0" windowWidth="0" guid="{A6DE3FAE-6E44-4D5A-9D0F-643F180368AE}" name="Table354 filter view"/>
    <customWorkbookView activeSheetId="0" maximized="1" windowHeight="0" windowWidth="0" guid="{547B1EE9-6309-46AD-9C3F-358FE1106D5A}" name="Table137 filter view"/>
    <customWorkbookView activeSheetId="0" maximized="1" windowHeight="0" windowWidth="0" guid="{81C0A7DE-26E5-40BB-B085-C5C4DDC0C9B3}" name="Table330 filter view"/>
    <customWorkbookView activeSheetId="0" maximized="1" windowHeight="0" windowWidth="0" guid="{045FF8CD-C4AE-419B-9406-D62EBDD4DB3C}" name="Table145 filter view"/>
    <customWorkbookView activeSheetId="0" maximized="1" windowHeight="0" windowWidth="0" guid="{32BB9BB2-0F81-456B-945A-6EC03652A21B}" name="Table141 filter view"/>
    <customWorkbookView activeSheetId="0" maximized="1" windowHeight="0" windowWidth="0" guid="{4786E4E0-4AA1-433A-B462-DB212577D7BA}" name="Table125 filter view"/>
    <customWorkbookView activeSheetId="0" maximized="1" windowHeight="0" windowWidth="0" guid="{90386528-E762-4BCC-B9D0-D9F5B1A1EDF7}" name="Table37 filter view"/>
    <customWorkbookView activeSheetId="0" maximized="1" windowHeight="0" windowWidth="0" guid="{F6015004-40AE-4A57-B1AC-EC50A6136621}" name="Table332 filter view"/>
    <customWorkbookView activeSheetId="0" maximized="1" windowHeight="0" windowWidth="0" guid="{24A3D83E-1505-4A36-80A7-A2121CA0E816}" name="Table320 filter view"/>
    <customWorkbookView activeSheetId="0" maximized="1" windowHeight="0" windowWidth="0" guid="{C4A362FE-B33B-4896-9B38-8C4B9069F9F7}" name="Table342 filter view"/>
    <customWorkbookView activeSheetId="0" maximized="1" windowHeight="0" windowWidth="0" guid="{8162B8FA-825B-4B5B-B5B7-CFC43CEBE0A9}" name="Table14143 filter view"/>
    <customWorkbookView activeSheetId="0" maximized="1" windowHeight="0" windowWidth="0" guid="{9CE8B42A-F154-48E5-9362-C8656844455B}" name="Table131 filter view"/>
    <customWorkbookView activeSheetId="0" maximized="1" windowHeight="0" windowWidth="0" guid="{42010159-DF8B-4C8B-9F08-D4859ECA4034}" name="Table328 filter view"/>
    <customWorkbookView activeSheetId="0" maximized="1" windowHeight="0" windowWidth="0" guid="{FF7A2EE9-93B1-4924-A723-BFDF53961162}" name="Table13 filter view"/>
    <customWorkbookView activeSheetId="0" maximized="1" windowHeight="0" windowWidth="0" guid="{A92A60B9-F2F8-4B85-9B23-633A1E054FD2}" name="Table119 filter view"/>
    <customWorkbookView activeSheetId="0" maximized="1" windowHeight="0" windowWidth="0" guid="{48A207BE-03A5-42CA-9C87-4E5DBD428763}" name="Table110 filter view"/>
    <customWorkbookView activeSheetId="0" maximized="1" windowHeight="0" windowWidth="0" guid="{29C0690C-878D-4DB3-AD6C-F280F0C06EE7}" name="Table35 filter view"/>
    <customWorkbookView activeSheetId="0" maximized="1" windowHeight="0" windowWidth="0" guid="{ACD72D3E-88D9-4805-8610-7400B18F3C90}" name="Table16 filter view"/>
    <customWorkbookView activeSheetId="0" maximized="1" windowHeight="0" windowWidth="0" guid="{09B2533C-CAB9-4501-8878-6DF4F88985D7}" name="Table155 filter view"/>
    <customWorkbookView activeSheetId="0" maximized="1" windowHeight="0" windowWidth="0" guid="{731D7F8B-708B-4B49-AAD7-70C80BFF2752}" name="Table317 filter view"/>
    <customWorkbookView activeSheetId="0" maximized="1" windowHeight="0" windowWidth="0" guid="{52A1A3AB-5F3F-449D-AA6E-326D9E7B4D8D}" name="Table356 filter view"/>
    <customWorkbookView activeSheetId="0" maximized="1" windowHeight="0" windowWidth="0" guid="{96D1D27E-F4DC-4A92-8B7E-3F498AE9AB3B}" name="Table324 filter view"/>
    <customWorkbookView activeSheetId="0" maximized="1" windowHeight="0" windowWidth="0" guid="{9531ED74-29D5-4DB3-830B-ABC6E0CE6D44}" name="Table338 filter view"/>
    <customWorkbookView activeSheetId="0" maximized="1" windowHeight="0" windowWidth="0" guid="{699604E0-9AC4-40EF-B30B-864983E6EC12}" name="Table153 filter view"/>
    <customWorkbookView activeSheetId="0" maximized="1" windowHeight="0" windowWidth="0" guid="{C46D81DC-D525-4046-838F-AD2D44F8F7E4}" name="Table112 filter view"/>
    <customWorkbookView activeSheetId="0" maximized="1" windowHeight="0" windowWidth="0" guid="{C5783448-EDF7-4F77-A2C0-646280CAE740}" name="Table1 filter view"/>
    <customWorkbookView activeSheetId="0" maximized="1" windowHeight="0" windowWidth="0" guid="{970D7C89-9235-45D3-9660-600C6359EB53}" name="Table334 filter view"/>
    <customWorkbookView activeSheetId="0" maximized="1" windowHeight="0" windowWidth="0" guid="{3627D5A0-0F92-41EA-8F88-DB4C9D103CC6}" name="Table151 filter view"/>
    <customWorkbookView activeSheetId="0" maximized="1" windowHeight="0" windowWidth="0" guid="{76C3EF79-FE96-43F7-B17B-72B7FDCA05A3}" name="Table123 filter view"/>
    <customWorkbookView activeSheetId="0" maximized="1" windowHeight="0" windowWidth="0" guid="{A318BC15-B225-4DAD-A0F3-D5FDBD1B5074}" name="Table135 filter view"/>
    <customWorkbookView activeSheetId="0" maximized="1" windowHeight="0" windowWidth="0" guid="{30FDDEBA-BFF1-4488-803D-C7BF1779BA76}" name="Table326 filter view"/>
  </customWorkbookViews>
  <extLst>
    <ext uri="GoogleSheetsCustomDataVersion2">
      <go:sheetsCustomData xmlns:go="http://customooxmlschemas.google.com/" r:id="rId32" roundtripDataChecksum="0gt6UVAiC12lTnoN42y/23SaUwFGd2VUDuOGYMljCxA="/>
    </ext>
  </extLst>
</workbook>
</file>

<file path=xl/sharedStrings.xml><?xml version="1.0" encoding="utf-8"?>
<sst xmlns="http://schemas.openxmlformats.org/spreadsheetml/2006/main" count="926" uniqueCount="136">
  <si>
    <t>Holes</t>
  </si>
  <si>
    <t>Club</t>
  </si>
  <si>
    <t>Points System</t>
  </si>
  <si>
    <t>Tier</t>
  </si>
  <si>
    <t>Points</t>
  </si>
  <si>
    <t>Course</t>
  </si>
  <si>
    <t>Facilities</t>
  </si>
  <si>
    <t>Points per Item</t>
  </si>
  <si>
    <t>Gravy</t>
  </si>
  <si>
    <t>Brookwater</t>
  </si>
  <si>
    <t>6, 13, 14, 15, 17</t>
  </si>
  <si>
    <t>5, 6, 7, 8, 10, 11, 12</t>
  </si>
  <si>
    <t>Good</t>
  </si>
  <si>
    <t>1, 4, 5, 8, 9, 10, 11, 12, 16</t>
  </si>
  <si>
    <t>Salt &amp; Vinegar</t>
  </si>
  <si>
    <t>3, 4, 14, 16, 18</t>
  </si>
  <si>
    <t>2, 3</t>
  </si>
  <si>
    <t>Meh</t>
  </si>
  <si>
    <t>Busy's Teeth</t>
  </si>
  <si>
    <t>1, 2, 9, 15, 17</t>
  </si>
  <si>
    <t>TOTALS</t>
  </si>
  <si>
    <t>Facility Ratings</t>
  </si>
  <si>
    <t>Rating</t>
  </si>
  <si>
    <t>Location / Ease of Access</t>
  </si>
  <si>
    <t>Couse Rating</t>
  </si>
  <si>
    <t>Value for Money</t>
  </si>
  <si>
    <t>Club Rating</t>
  </si>
  <si>
    <t>Beers / Vibes</t>
  </si>
  <si>
    <t>Total</t>
  </si>
  <si>
    <t>Clubhouse</t>
  </si>
  <si>
    <t>Golf Facilities</t>
  </si>
  <si>
    <t>Couse Planner</t>
  </si>
  <si>
    <t>Hollinwell</t>
  </si>
  <si>
    <t>Royal St Davids</t>
  </si>
  <si>
    <t>Hayling</t>
  </si>
  <si>
    <t>3, 6, 8, 10</t>
  </si>
  <si>
    <t>13, 16</t>
  </si>
  <si>
    <t>1, 5, 9, 13, 14, 15, 17, 18</t>
  </si>
  <si>
    <t>2, 4, 7, 15, 16, 17, 18</t>
  </si>
  <si>
    <t>2, 7, 11, 12, 16</t>
  </si>
  <si>
    <t>2, 5, 6, 8, 10, 11, 12,14, 15, 17,18</t>
  </si>
  <si>
    <t>3, 4</t>
  </si>
  <si>
    <t>5, 10, 12</t>
  </si>
  <si>
    <t>7,9</t>
  </si>
  <si>
    <t>1, 6, 11, 14</t>
  </si>
  <si>
    <t>3, 8, 13</t>
  </si>
  <si>
    <t>1,</t>
  </si>
  <si>
    <t>Oostende</t>
  </si>
  <si>
    <t>Luffenham</t>
  </si>
  <si>
    <t>5, 8, 9, 10, 13, 14, 15, 18</t>
  </si>
  <si>
    <t>1, 2, 3, 6, 17</t>
  </si>
  <si>
    <t xml:space="preserve">1, 7, 12, 15, 16 </t>
  </si>
  <si>
    <t>Swinley Forest</t>
  </si>
  <si>
    <t>4, 7, 12, 16</t>
  </si>
  <si>
    <t>3, 4, 5, 6, 9, 10</t>
  </si>
  <si>
    <t>8, 13</t>
  </si>
  <si>
    <t>6, 9, 18</t>
  </si>
  <si>
    <t>2, 11, 14, 17</t>
  </si>
  <si>
    <t>1, 5, 8, 17</t>
  </si>
  <si>
    <t xml:space="preserve">2, 3, 7, 13, 15  </t>
  </si>
  <si>
    <t>4, 12, 14, 16</t>
  </si>
  <si>
    <t>Broadstone</t>
  </si>
  <si>
    <t>10, 11</t>
  </si>
  <si>
    <t>Royal Queensland</t>
  </si>
  <si>
    <t>4, 5, 10, 11, 13, 14, 15, 16, 17</t>
  </si>
  <si>
    <t>3, 6, 7, 18</t>
  </si>
  <si>
    <t>West Hill</t>
  </si>
  <si>
    <t>1, 2, 8, 12</t>
  </si>
  <si>
    <t>Saunton East</t>
  </si>
  <si>
    <t>6, 8, 14</t>
  </si>
  <si>
    <t>2, 3, 4, 7, 11, 13, 15</t>
  </si>
  <si>
    <t>16, 17</t>
  </si>
  <si>
    <t>1, 5, 9, 10, 12, 18</t>
  </si>
  <si>
    <t>Byron Bay</t>
  </si>
  <si>
    <t>6, 14</t>
  </si>
  <si>
    <t xml:space="preserve">2, 5, 7, 8, 9, 13, 15 </t>
  </si>
  <si>
    <t>2, 3, 4, 7, 9, 13, 15</t>
  </si>
  <si>
    <t>1, 8, 11, 16</t>
  </si>
  <si>
    <t>1, 3, 4, 10</t>
  </si>
  <si>
    <t>5, 10, 12, 17, 18</t>
  </si>
  <si>
    <t>6, 11, 12, 14, 18</t>
  </si>
  <si>
    <t>Tyrrells Wood</t>
  </si>
  <si>
    <t>Saunton West</t>
  </si>
  <si>
    <t xml:space="preserve">2, 3, 5, 6, 8 </t>
  </si>
  <si>
    <t>1, 4, 9, 13, 16, 17, 18</t>
  </si>
  <si>
    <t>7, 15</t>
  </si>
  <si>
    <t>5, 6, 7, 8, 12, 17</t>
  </si>
  <si>
    <t>7, 12, 14, 15</t>
  </si>
  <si>
    <t>4, 5, 6, 9, 12,13, 17</t>
  </si>
  <si>
    <t>Pleasington</t>
  </si>
  <si>
    <t>3, 10, 11, 16, 14</t>
  </si>
  <si>
    <t>1, 2, 8, 10, 14, 18</t>
  </si>
  <si>
    <t>1, 2, 4, 9, 15, 18</t>
  </si>
  <si>
    <t>3, 11, 16</t>
  </si>
  <si>
    <t>Hindhead</t>
  </si>
  <si>
    <t>Royal Ashdown</t>
  </si>
  <si>
    <t>3, 4, 6, 8, 10, 12, 15, 16, 18</t>
  </si>
  <si>
    <t>1, 2, 7, 13</t>
  </si>
  <si>
    <t>5, 9, 14, 17</t>
  </si>
  <si>
    <t>4, 5, 6, 9, 12, 17</t>
  </si>
  <si>
    <t>Camberley Heath</t>
  </si>
  <si>
    <t>7, 10, 11, 13, 14, 15</t>
  </si>
  <si>
    <t>4, 5, 6, 8</t>
  </si>
  <si>
    <t>1, 2, 3, 8, 16, 18</t>
  </si>
  <si>
    <t>1, 2, 3, 9, 11, 14, 17, 18</t>
  </si>
  <si>
    <t>7, 10, 12, 13, 16</t>
  </si>
  <si>
    <t>West Sussex</t>
  </si>
  <si>
    <t>3, 12</t>
  </si>
  <si>
    <t>The Glades</t>
  </si>
  <si>
    <t>1, 10, 11, 13, 15, 16, 17</t>
  </si>
  <si>
    <t>4, 6, 7, 8, 18</t>
  </si>
  <si>
    <t>2, 5, 9, 14</t>
  </si>
  <si>
    <t>2, 10, 16, 18</t>
  </si>
  <si>
    <t>5, 7, 11, 14, 17</t>
  </si>
  <si>
    <t>Pastures</t>
  </si>
  <si>
    <t>3, 4, 6, 8, 9, 12, 13, 15</t>
  </si>
  <si>
    <t>9, 13, 14, 18</t>
  </si>
  <si>
    <t>Carbrook</t>
  </si>
  <si>
    <t>1, 6, 10, 15, 16, 17</t>
  </si>
  <si>
    <t>2, 5, 7, 8, 11, 12</t>
  </si>
  <si>
    <t>3,4</t>
  </si>
  <si>
    <t>1, 2, 4, 5, 6, 7, 8, 13, 16, 17, 18</t>
  </si>
  <si>
    <t>3, 10, 11, 14</t>
  </si>
  <si>
    <t>12, 15</t>
  </si>
  <si>
    <t>Aldeburgh</t>
  </si>
  <si>
    <t>5, 10, 11, 14, 15, 17</t>
  </si>
  <si>
    <t>1, 2, 3, 4, 6, 7, 8, 9, 12, 13</t>
  </si>
  <si>
    <t>16, 18</t>
  </si>
  <si>
    <t>Chobham</t>
  </si>
  <si>
    <t>East Brighton</t>
  </si>
  <si>
    <t>2,3,4,6,7,8,10,11,13,14,15,16,17,18</t>
  </si>
  <si>
    <t>1,5,9</t>
  </si>
  <si>
    <t>4,9</t>
  </si>
  <si>
    <t>3,5,8</t>
  </si>
  <si>
    <t>1,6,7</t>
  </si>
  <si>
    <t>Royal Zoute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</si>
</sst>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&quot;/100&quot;"/>
    <numFmt numFmtId="165" formatCode="0&quot;/9&quot;"/>
    <numFmt numFmtId="166" formatCode="0&quot;/1&quot;"/>
    <numFmt numFmtId="167" formatCode="m, d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rgb="FFFFFFFF"/>
      <name val="Aptos Narrow"/>
    </font>
    <font>
      <sz val="11.0"/>
      <color theme="1"/>
      <name val="Aptos Narrow"/>
    </font>
    <font>
      <b/>
      <i/>
      <sz val="11.0"/>
      <color theme="1"/>
      <name val="Aptos Narrow"/>
    </font>
    <font/>
    <font>
      <sz val="11.0"/>
      <color rgb="FF242424"/>
      <name val="Cascadia Mono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12">
    <border/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ill="1" applyFont="1">
      <alignment horizontal="left" readingOrder="0" shrinkToFit="0" vertical="center" wrapText="0"/>
    </xf>
    <xf borderId="3" fillId="2" fontId="2" numFmtId="0" xfId="0" applyAlignment="1" applyBorder="1" applyFill="1" applyFont="1">
      <alignment horizontal="left" readingOrder="0" shrinkToFit="0" vertical="center" wrapText="0"/>
    </xf>
    <xf borderId="4" fillId="2" fontId="2" numFmtId="0" xfId="0" applyAlignment="1" applyBorder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4" fillId="3" fontId="2" numFmtId="0" xfId="0" applyAlignment="1" applyBorder="1" applyFill="1" applyFont="1">
      <alignment horizontal="left" readingOrder="0" shrinkToFit="0" vertical="center" wrapText="0"/>
    </xf>
    <xf borderId="5" fillId="2" fontId="3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shrinkToFit="0" vertical="center" wrapText="0"/>
    </xf>
    <xf borderId="6" fillId="2" fontId="3" numFmtId="0" xfId="0" applyAlignment="1" applyBorder="1" applyFill="1" applyFont="1">
      <alignment horizontal="left" shrinkToFit="0" vertical="center" wrapText="0"/>
    </xf>
    <xf borderId="7" fillId="2" fontId="3" numFmtId="0" xfId="0" applyAlignment="1" applyBorder="1" applyFill="1" applyFont="1">
      <alignment horizontal="center" shrinkToFit="0" vertical="center" wrapText="0"/>
    </xf>
    <xf borderId="5" fillId="3" fontId="3" numFmtId="0" xfId="0" applyAlignment="1" applyBorder="1" applyFill="1" applyFont="1">
      <alignment shrinkToFit="0" vertical="center" wrapText="0"/>
    </xf>
    <xf borderId="7" fillId="3" fontId="3" numFmtId="0" xfId="0" applyAlignment="1" applyBorder="1" applyFill="1" applyFont="1">
      <alignment shrinkToFit="0" vertical="center" wrapText="0"/>
    </xf>
    <xf borderId="2" fillId="2" fontId="3" numFmtId="164" xfId="0" applyAlignment="1" applyBorder="1" applyFill="1" applyFont="1" applyNumberFormat="1">
      <alignment shrinkToFit="0" vertical="center" wrapText="0"/>
    </xf>
    <xf borderId="8" fillId="2" fontId="3" numFmtId="0" xfId="0" applyAlignment="1" applyBorder="1" applyFill="1" applyFont="1">
      <alignment shrinkToFit="0" vertical="center" wrapText="0"/>
    </xf>
    <xf borderId="9" fillId="2" fontId="3" numFmtId="0" xfId="0" applyAlignment="1" applyBorder="1" applyFill="1" applyFont="1">
      <alignment horizontal="left" shrinkToFit="0" vertical="center" wrapText="0"/>
    </xf>
    <xf borderId="8" fillId="3" fontId="3" numFmtId="0" xfId="0" applyAlignment="1" applyBorder="1" applyFill="1" applyFont="1">
      <alignment shrinkToFit="0" vertical="center" wrapText="0"/>
    </xf>
    <xf borderId="10" fillId="3" fontId="3" numFmtId="0" xfId="0" applyAlignment="1" applyBorder="1" applyFill="1" applyFont="1">
      <alignment shrinkToFit="0" vertical="center" wrapText="0"/>
    </xf>
    <xf borderId="8" fillId="2" fontId="4" numFmtId="0" xfId="0" applyAlignment="1" applyBorder="1" applyFill="1" applyFont="1">
      <alignment shrinkToFit="0" vertical="center" wrapText="0"/>
    </xf>
    <xf borderId="9" fillId="2" fontId="3" numFmtId="0" xfId="0" applyAlignment="1" applyBorder="1" applyFill="1" applyFont="1">
      <alignment shrinkToFit="0" vertical="center" wrapText="0"/>
    </xf>
    <xf borderId="10" fillId="2" fontId="1" numFmtId="0" xfId="0" applyAlignment="1" applyBorder="1" applyFill="1" applyFont="1">
      <alignment horizontal="center" shrinkToFit="0" vertical="center" wrapText="0"/>
    </xf>
    <xf borderId="11" fillId="0" fontId="1" numFmtId="0" xfId="0" applyAlignment="1" applyBorder="1" applyFont="1">
      <alignment horizontal="center"/>
    </xf>
    <xf borderId="11" fillId="0" fontId="5" numFmtId="0" xfId="0" applyBorder="1" applyFont="1"/>
    <xf borderId="6" fillId="4" fontId="3" numFmtId="0" xfId="0" applyBorder="1" applyFill="1" applyFont="1"/>
    <xf borderId="6" fillId="4" fontId="3" numFmtId="165" xfId="0" applyAlignment="1" applyBorder="1" applyFill="1" applyFont="1" applyNumberFormat="1">
      <alignment horizontal="center"/>
    </xf>
    <xf borderId="6" fillId="5" fontId="3" numFmtId="0" xfId="0" applyBorder="1" applyFill="1" applyFont="1"/>
    <xf borderId="6" fillId="5" fontId="3" numFmtId="0" xfId="0" applyAlignment="1" applyBorder="1" applyFill="1" applyFont="1">
      <alignment horizontal="center"/>
    </xf>
    <xf borderId="6" fillId="5" fontId="4" numFmtId="0" xfId="0" applyBorder="1" applyFill="1" applyFont="1"/>
    <xf borderId="6" fillId="5" fontId="1" numFmtId="164" xfId="0" applyAlignment="1" applyBorder="1" applyFill="1" applyFont="1" applyNumberFormat="1">
      <alignment horizontal="center"/>
    </xf>
    <xf borderId="0" fillId="0" fontId="6" numFmtId="0" xfId="0" applyFont="1"/>
    <xf borderId="6" fillId="4" fontId="3" numFmtId="166" xfId="0" applyAlignment="1" applyBorder="1" applyFill="1" applyFont="1" applyNumberFormat="1">
      <alignment horizontal="center"/>
    </xf>
    <xf borderId="6" fillId="4" fontId="4" numFmtId="0" xfId="0" applyBorder="1" applyFill="1" applyFont="1"/>
    <xf borderId="6" fillId="4" fontId="1" numFmtId="0" xfId="0" applyAlignment="1" applyBorder="1" applyFill="1" applyFont="1">
      <alignment horizontal="center"/>
    </xf>
    <xf borderId="6" fillId="2" fontId="3" numFmtId="0" xfId="0" applyAlignment="1" applyBorder="1" applyFill="1" applyFont="1">
      <alignment shrinkToFit="0" vertical="center" wrapText="0"/>
    </xf>
    <xf borderId="6" fillId="2" fontId="7" numFmtId="0" xfId="0" applyAlignment="1" applyBorder="1" applyFill="1" applyFont="1">
      <alignment horizontal="left" readingOrder="0"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quotePrefix="1" borderId="6" fillId="2" fontId="7" numFmtId="0" xfId="0" applyAlignment="1" applyBorder="1" applyFill="1" applyFont="1">
      <alignment horizontal="left" readingOrder="0" shrinkToFit="0" vertical="center" wrapText="0"/>
    </xf>
    <xf borderId="6" fillId="2" fontId="7" numFmtId="167" xfId="0" applyAlignment="1" applyBorder="1" applyFill="1" applyFont="1" applyNumberFormat="1">
      <alignment horizontal="left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</dxfs>
  <tableStyles count="55">
    <tableStyle count="4" pivot="0" name="Template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roadstone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ummary-style">
      <tableStyleElement dxfId="3" type="headerRow"/>
      <tableStyleElement dxfId="5" type="firstRowStripe"/>
      <tableStyleElement dxfId="4" type="secondRowStripe"/>
      <tableStyleElement dxfId="7" size="0" type="wholeTable"/>
    </tableStyle>
    <tableStyle count="4" pivot="0" name="Hayling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roadstone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Template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Hayling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Aldeburgh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Tyrrells Wood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Aldeburgh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Tyrrells Wood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Luffenham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Luffenham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aunton East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aunton East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aunton West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aunton West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Oostende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Oostende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Zoute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West Sussex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Zoute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West Sussex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East Brighton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East Brighton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hobham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hobham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Hindhead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Hindhead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amberley Heath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amberley Heath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St David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St Davids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Ashdown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Ashdown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West Hi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West Hill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winley Forest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winley Forest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Pleasington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Pleasington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arbrook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Carbrook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The Glade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The Glades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yron Bay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yron Bay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rookwater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Brookwater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Queensland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oyal Queensland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Hollinwell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Hollinwell-style 2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Pasture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Pastures-style 2">
      <tableStyleElement dxfId="1" type="headerRow"/>
      <tableStyleElement dxfId="2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C8" displayName="Table1" name="Table1" id="4">
  <tableColumns count="3">
    <tableColumn name="Tier" id="1"/>
    <tableColumn name="Holes" id="2"/>
    <tableColumn name="Points" id="3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ref="E2:F7" displayName="Table3" name="Table3" id="5">
  <tableColumns count="2">
    <tableColumn name="Tier" id="1"/>
    <tableColumn name="Points per Item" id="2"/>
  </tableColumns>
  <tableStyleInfo name="Template-style 2" showColumnStripes="0" showFirstColumn="1" showLastColumn="1" showRowStripes="1"/>
</table>
</file>

<file path=xl/tables/table3.xml><?xml version="1.0" encoding="utf-8"?>
<table xmlns="http://schemas.openxmlformats.org/spreadsheetml/2006/main" ref="A1:D27" displayName="Table17" name="Table17" id="1">
  <tableColumns count="4">
    <tableColumn name="Club" id="1"/>
    <tableColumn name="Points" id="2"/>
    <tableColumn name="Course" id="3"/>
    <tableColumn name="Facilities" id="4"/>
  </tableColumns>
  <tableStyleInfo name="Summary-style" showColumnStripes="0" showFirstColumn="1" showLastColumn="1" showRowStripes="1"/>
</table>
</file>

<file path=xl/tables/table4.xml><?xml version="1.0" encoding="utf-8"?>
<table xmlns="http://schemas.openxmlformats.org/spreadsheetml/2006/main" ref="A2:C8" displayName="Table155" name="Table155" id="2">
  <tableColumns count="3">
    <tableColumn name="Tier" id="1"/>
    <tableColumn name="Holes" id="2"/>
    <tableColumn name="Points" id="3"/>
  </tableColumns>
  <tableStyleInfo name="Broadstone-style" showColumnStripes="0" showFirstColumn="1" showLastColumn="1" showRowStripes="1"/>
</table>
</file>

<file path=xl/tables/table5.xml><?xml version="1.0" encoding="utf-8"?>
<table xmlns="http://schemas.openxmlformats.org/spreadsheetml/2006/main" ref="E2:F7" displayName="Table356" name="Table356" id="6">
  <tableColumns count="2">
    <tableColumn name="Tier" id="1"/>
    <tableColumn name="Points per Item" id="2"/>
  </tableColumns>
  <tableStyleInfo name="Broadstone-style 2" showColumnStripes="0" showFirstColumn="1" showLastColumn="1" showRowStripes="1"/>
</table>
</file>

<file path=xl/tables/table6.xml><?xml version="1.0" encoding="utf-8"?>
<table xmlns="http://schemas.openxmlformats.org/spreadsheetml/2006/main" ref="A2:C8" displayName="Table153" name="Table153" id="3">
  <tableColumns count="3">
    <tableColumn name="Tier" id="1"/>
    <tableColumn name="Holes" id="2"/>
    <tableColumn name="Points" id="3"/>
  </tableColumns>
  <tableStyleInfo name="Hayling-style" showColumnStripes="0" showFirstColumn="1" showLastColumn="1" showRowStripes="1"/>
</table>
</file>

<file path=xl/tables/table7.xml><?xml version="1.0" encoding="utf-8"?>
<table xmlns="http://schemas.openxmlformats.org/spreadsheetml/2006/main" ref="E2:F7" displayName="Table354" name="Table354" id="7">
  <tableColumns count="2">
    <tableColumn name="Tier" id="1"/>
    <tableColumn name="Points per Item" id="2"/>
  </tableColumns>
  <tableStyleInfo name="Hayling-style 2" showColumnStripes="0" showFirstColumn="1" showLastColumn="1" showRowStripes="1"/>
</table>
</file>

<file path=xl/tables/table8.xml><?xml version="1.0" encoding="utf-8"?>
<table xmlns="http://schemas.openxmlformats.org/spreadsheetml/2006/main" ref="A2:C8" displayName="Table149" name="Table149" id="9">
  <tableColumns count="3">
    <tableColumn name="Tier" id="1"/>
    <tableColumn name="Holes" id="2"/>
    <tableColumn name="Points" id="3"/>
  </tableColumns>
  <tableStyleInfo name="Aldeburgh-style" showColumnStripes="0" showFirstColumn="1" showLastColumn="1" showRowStripes="1"/>
</table>
</file>

<file path=xl/tables/table9.xml><?xml version="1.0" encoding="utf-8"?>
<table xmlns="http://schemas.openxmlformats.org/spreadsheetml/2006/main" ref="E2:F7" displayName="Table350" name="Table350" id="10">
  <tableColumns count="2">
    <tableColumn name="Tier" id="1"/>
    <tableColumn name="Points per Item" id="2"/>
  </tableColumns>
  <tableStyleInfo name="Aldeburgh-style 2" showColumnStripes="0" showFirstColumn="1" showLastColumn="1" showRowStripes="1"/>
</table>
</file>

<file path=xl/tables/table10.xml><?xml version="1.0" encoding="utf-8"?>
<table xmlns="http://schemas.openxmlformats.org/spreadsheetml/2006/main" ref="A2:C8" displayName="Table16" name="Table16" id="8">
  <tableColumns count="3">
    <tableColumn name="Tier" id="1"/>
    <tableColumn name="Holes" id="2"/>
    <tableColumn name="Points" id="3"/>
  </tableColumns>
  <tableStyleInfo name="Tyrrells Wood-style" showColumnStripes="0" showFirstColumn="1" showLastColumn="1" showRowStripes="1"/>
</table>
</file>

<file path=xl/tables/table11.xml><?xml version="1.0" encoding="utf-8"?>
<table xmlns="http://schemas.openxmlformats.org/spreadsheetml/2006/main" ref="E2:F7" displayName="Table37" name="Table37" id="11">
  <tableColumns count="2">
    <tableColumn name="Tier" id="1"/>
    <tableColumn name="Points per Item" id="2"/>
  </tableColumns>
  <tableStyleInfo name="Tyrrells Wood-style 2" showColumnStripes="0" showFirstColumn="1" showLastColumn="1" showRowStripes="1"/>
</table>
</file>

<file path=xl/tables/table12.xml><?xml version="1.0" encoding="utf-8"?>
<table xmlns="http://schemas.openxmlformats.org/spreadsheetml/2006/main" ref="A2:C8" displayName="Table139" name="Table139" id="12">
  <tableColumns count="3">
    <tableColumn name="Tier" id="1"/>
    <tableColumn name="Holes" id="2"/>
    <tableColumn name="Points" id="3"/>
  </tableColumns>
  <tableStyleInfo name="Luffenham-style" showColumnStripes="0" showFirstColumn="1" showLastColumn="1" showRowStripes="1"/>
</table>
</file>

<file path=xl/tables/table13.xml><?xml version="1.0" encoding="utf-8"?>
<table xmlns="http://schemas.openxmlformats.org/spreadsheetml/2006/main" ref="E2:F7" displayName="Table340" name="Table340" id="13">
  <tableColumns count="2">
    <tableColumn name="Tier" id="1"/>
    <tableColumn name="Points per Item" id="2"/>
  </tableColumns>
  <tableStyleInfo name="Luffenham-style 2" showColumnStripes="0" showFirstColumn="1" showLastColumn="1" showRowStripes="1"/>
</table>
</file>

<file path=xl/tables/table14.xml><?xml version="1.0" encoding="utf-8"?>
<table xmlns="http://schemas.openxmlformats.org/spreadsheetml/2006/main" ref="A2:C8" displayName="Table13" name="Table13" id="14">
  <tableColumns count="3">
    <tableColumn name="Tier" id="1"/>
    <tableColumn name="Holes" id="2"/>
    <tableColumn name="Points" id="3"/>
  </tableColumns>
  <tableStyleInfo name="Saunton East-style" showColumnStripes="0" showFirstColumn="1" showLastColumn="1" showRowStripes="1"/>
</table>
</file>

<file path=xl/tables/table15.xml><?xml version="1.0" encoding="utf-8"?>
<table xmlns="http://schemas.openxmlformats.org/spreadsheetml/2006/main" ref="E2:F7" displayName="Table35" name="Table35" id="15">
  <tableColumns count="2">
    <tableColumn name="Tier" id="1"/>
    <tableColumn name="Points per Item" id="2"/>
  </tableColumns>
  <tableStyleInfo name="Saunton East-style 2" showColumnStripes="0" showFirstColumn="1" showLastColumn="1" showRowStripes="1"/>
</table>
</file>

<file path=xl/tables/table16.xml><?xml version="1.0" encoding="utf-8"?>
<table xmlns="http://schemas.openxmlformats.org/spreadsheetml/2006/main" ref="A2:C8" displayName="Table135" name="Table135" id="16">
  <tableColumns count="3">
    <tableColumn name="Tier" id="1"/>
    <tableColumn name="Holes" id="2"/>
    <tableColumn name="Points" id="3"/>
  </tableColumns>
  <tableStyleInfo name="Saunton West-style" showColumnStripes="0" showFirstColumn="1" showLastColumn="1" showRowStripes="1"/>
</table>
</file>

<file path=xl/tables/table17.xml><?xml version="1.0" encoding="utf-8"?>
<table xmlns="http://schemas.openxmlformats.org/spreadsheetml/2006/main" ref="E2:F7" displayName="Table336" name="Table336" id="17">
  <tableColumns count="2">
    <tableColumn name="Tier" id="1"/>
    <tableColumn name="Points per Item" id="2"/>
  </tableColumns>
  <tableStyleInfo name="Saunton West-style 2" showColumnStripes="0" showFirstColumn="1" showLastColumn="1" showRowStripes="1"/>
</table>
</file>

<file path=xl/tables/table18.xml><?xml version="1.0" encoding="utf-8"?>
<table xmlns="http://schemas.openxmlformats.org/spreadsheetml/2006/main" ref="A2:C8" displayName="Table121" name="Table121" id="18">
  <tableColumns count="3">
    <tableColumn name="Tier" id="1"/>
    <tableColumn name="Holes" id="2"/>
    <tableColumn name="Points" id="3"/>
  </tableColumns>
  <tableStyleInfo name="Oostende-style" showColumnStripes="0" showFirstColumn="1" showLastColumn="1" showRowStripes="1"/>
</table>
</file>

<file path=xl/tables/table19.xml><?xml version="1.0" encoding="utf-8"?>
<table xmlns="http://schemas.openxmlformats.org/spreadsheetml/2006/main" ref="E2:F7" displayName="Table322" name="Table322" id="19">
  <tableColumns count="2">
    <tableColumn name="Tier" id="1"/>
    <tableColumn name="Points per Item" id="2"/>
  </tableColumns>
  <tableStyleInfo name="Oostende-style 2" showColumnStripes="0" showFirstColumn="1" showLastColumn="1" showRowStripes="1"/>
</table>
</file>

<file path=xl/tables/table20.xml><?xml version="1.0" encoding="utf-8"?>
<table xmlns="http://schemas.openxmlformats.org/spreadsheetml/2006/main" ref="A2:C8" displayName="Table123" name="Table123" id="20">
  <tableColumns count="3">
    <tableColumn name="Tier" id="1"/>
    <tableColumn name="Holes" id="2"/>
    <tableColumn name="Points" id="3"/>
  </tableColumns>
  <tableStyleInfo name="Royal Zoute-style" showColumnStripes="0" showFirstColumn="1" showLastColumn="1" showRowStripes="1"/>
</table>
</file>

<file path=xl/tables/table21.xml><?xml version="1.0" encoding="utf-8"?>
<table xmlns="http://schemas.openxmlformats.org/spreadsheetml/2006/main" ref="E2:F7" displayName="Table324" name="Table324" id="22">
  <tableColumns count="2">
    <tableColumn name="Tier" id="1"/>
    <tableColumn name="Points per Item" id="2"/>
  </tableColumns>
  <tableStyleInfo name="Royal Zoute-style 2" showColumnStripes="0" showFirstColumn="1" showLastColumn="1" showRowStripes="1"/>
</table>
</file>

<file path=xl/tables/table22.xml><?xml version="1.0" encoding="utf-8"?>
<table xmlns="http://schemas.openxmlformats.org/spreadsheetml/2006/main" ref="A2:C8" displayName="Table110" name="Table110" id="21">
  <tableColumns count="3">
    <tableColumn name="Tier" id="1"/>
    <tableColumn name="Holes" id="2"/>
    <tableColumn name="Points" id="3"/>
  </tableColumns>
  <tableStyleInfo name="West Sussex-style" showColumnStripes="0" showFirstColumn="1" showLastColumn="1" showRowStripes="1"/>
</table>
</file>

<file path=xl/tables/table23.xml><?xml version="1.0" encoding="utf-8"?>
<table xmlns="http://schemas.openxmlformats.org/spreadsheetml/2006/main" ref="E2:F7" displayName="Table311" name="Table311" id="23">
  <tableColumns count="2">
    <tableColumn name="Tier" id="1"/>
    <tableColumn name="Points per Item" id="2"/>
  </tableColumns>
  <tableStyleInfo name="West Sussex-style 2" showColumnStripes="0" showFirstColumn="1" showLastColumn="1" showRowStripes="1"/>
</table>
</file>

<file path=xl/tables/table24.xml><?xml version="1.0" encoding="utf-8"?>
<table xmlns="http://schemas.openxmlformats.org/spreadsheetml/2006/main" ref="A2:C8" displayName="Table18" name="Table18" id="24">
  <tableColumns count="3">
    <tableColumn name="Tier" id="1"/>
    <tableColumn name="Holes" id="2"/>
    <tableColumn name="Points" id="3"/>
  </tableColumns>
  <tableStyleInfo name="East Brighton-style" showColumnStripes="0" showFirstColumn="1" showLastColumn="1" showRowStripes="1"/>
</table>
</file>

<file path=xl/tables/table25.xml><?xml version="1.0" encoding="utf-8"?>
<table xmlns="http://schemas.openxmlformats.org/spreadsheetml/2006/main" ref="E2:F7" displayName="Table39" name="Table39" id="25">
  <tableColumns count="2">
    <tableColumn name="Tier" id="1"/>
    <tableColumn name="Points per Item" id="2"/>
  </tableColumns>
  <tableStyleInfo name="East Brighton-style 2" showColumnStripes="0" showFirstColumn="1" showLastColumn="1" showRowStripes="1"/>
</table>
</file>

<file path=xl/tables/table26.xml><?xml version="1.0" encoding="utf-8"?>
<table xmlns="http://schemas.openxmlformats.org/spreadsheetml/2006/main" ref="A2:C8" displayName="Table112" name="Table112" id="26">
  <tableColumns count="3">
    <tableColumn name="Tier" id="1"/>
    <tableColumn name="Holes" id="2"/>
    <tableColumn name="Points" id="3"/>
  </tableColumns>
  <tableStyleInfo name="Chobham-style" showColumnStripes="0" showFirstColumn="1" showLastColumn="1" showRowStripes="1"/>
</table>
</file>

<file path=xl/tables/table27.xml><?xml version="1.0" encoding="utf-8"?>
<table xmlns="http://schemas.openxmlformats.org/spreadsheetml/2006/main" ref="E2:F7" displayName="Table313" name="Table313" id="27">
  <tableColumns count="2">
    <tableColumn name="Tier" id="1"/>
    <tableColumn name="Points per Item" id="2"/>
  </tableColumns>
  <tableStyleInfo name="Chobham-style 2" showColumnStripes="0" showFirstColumn="1" showLastColumn="1" showRowStripes="1"/>
</table>
</file>

<file path=xl/tables/table28.xml><?xml version="1.0" encoding="utf-8"?>
<table xmlns="http://schemas.openxmlformats.org/spreadsheetml/2006/main" ref="A2:C8" displayName="Table137" name="Table137" id="28">
  <tableColumns count="3">
    <tableColumn name="Tier" id="1"/>
    <tableColumn name="Holes" id="2"/>
    <tableColumn name="Points" id="3"/>
  </tableColumns>
  <tableStyleInfo name="Hindhead-style" showColumnStripes="0" showFirstColumn="1" showLastColumn="1" showRowStripes="1"/>
</table>
</file>

<file path=xl/tables/table29.xml><?xml version="1.0" encoding="utf-8"?>
<table xmlns="http://schemas.openxmlformats.org/spreadsheetml/2006/main" ref="E2:F7" displayName="Table338" name="Table338" id="29">
  <tableColumns count="2">
    <tableColumn name="Tier" id="1"/>
    <tableColumn name="Points per Item" id="2"/>
  </tableColumns>
  <tableStyleInfo name="Hindhead-style 2" showColumnStripes="0" showFirstColumn="1" showLastColumn="1" showRowStripes="1"/>
</table>
</file>

<file path=xl/tables/table30.xml><?xml version="1.0" encoding="utf-8"?>
<table xmlns="http://schemas.openxmlformats.org/spreadsheetml/2006/main" ref="A2:C8" displayName="Table141" name="Table141" id="30">
  <tableColumns count="3">
    <tableColumn name="Tier" id="1"/>
    <tableColumn name="Holes" id="2"/>
    <tableColumn name="Points" id="3"/>
  </tableColumns>
  <tableStyleInfo name="Camberley Heath-style" showColumnStripes="0" showFirstColumn="1" showLastColumn="1" showRowStripes="1"/>
</table>
</file>

<file path=xl/tables/table31.xml><?xml version="1.0" encoding="utf-8"?>
<table xmlns="http://schemas.openxmlformats.org/spreadsheetml/2006/main" ref="E2:F7" displayName="Table342" name="Table342" id="31">
  <tableColumns count="2">
    <tableColumn name="Tier" id="1"/>
    <tableColumn name="Points per Item" id="2"/>
  </tableColumns>
  <tableStyleInfo name="Camberley Heath-style 2" showColumnStripes="0" showFirstColumn="1" showLastColumn="1" showRowStripes="1"/>
</table>
</file>

<file path=xl/tables/table32.xml><?xml version="1.0" encoding="utf-8"?>
<table xmlns="http://schemas.openxmlformats.org/spreadsheetml/2006/main" ref="A2:C8" displayName="Table14143" name="Table14143" id="32">
  <tableColumns count="3">
    <tableColumn name="Tier" id="1"/>
    <tableColumn name="Holes" id="2"/>
    <tableColumn name="Points" id="3"/>
  </tableColumns>
  <tableStyleInfo name="Royal St Davids-style" showColumnStripes="0" showFirstColumn="1" showLastColumn="1" showRowStripes="1"/>
</table>
</file>

<file path=xl/tables/table33.xml><?xml version="1.0" encoding="utf-8"?>
<table xmlns="http://schemas.openxmlformats.org/spreadsheetml/2006/main" ref="E2:F7" displayName="Table34244" name="Table34244" id="33">
  <tableColumns count="2">
    <tableColumn name="Tier" id="1"/>
    <tableColumn name="Points per Item" id="2"/>
  </tableColumns>
  <tableStyleInfo name="Royal St Davids-style 2" showColumnStripes="0" showFirstColumn="1" showLastColumn="1" showRowStripes="1"/>
</table>
</file>

<file path=xl/tables/table34.xml><?xml version="1.0" encoding="utf-8"?>
<table xmlns="http://schemas.openxmlformats.org/spreadsheetml/2006/main" ref="A2:C8" displayName="Table114" name="Table114" id="34">
  <tableColumns count="3">
    <tableColumn name="Tier" id="1"/>
    <tableColumn name="Holes" id="2"/>
    <tableColumn name="Points" id="3"/>
  </tableColumns>
  <tableStyleInfo name="Royal Ashdown-style" showColumnStripes="0" showFirstColumn="1" showLastColumn="1" showRowStripes="1"/>
</table>
</file>

<file path=xl/tables/table35.xml><?xml version="1.0" encoding="utf-8"?>
<table xmlns="http://schemas.openxmlformats.org/spreadsheetml/2006/main" ref="E2:F7" displayName="Table315" name="Table315" id="35">
  <tableColumns count="2">
    <tableColumn name="Tier" id="1"/>
    <tableColumn name="Points per Item" id="2"/>
  </tableColumns>
  <tableStyleInfo name="Royal Ashdown-style 2" showColumnStripes="0" showFirstColumn="1" showLastColumn="1" showRowStripes="1"/>
</table>
</file>

<file path=xl/tables/table36.xml><?xml version="1.0" encoding="utf-8"?>
<table xmlns="http://schemas.openxmlformats.org/spreadsheetml/2006/main" ref="A2:C8" displayName="Table145" name="Table145" id="36">
  <tableColumns count="3">
    <tableColumn name="Tier" id="1"/>
    <tableColumn name="Holes" id="2"/>
    <tableColumn name="Points" id="3"/>
  </tableColumns>
  <tableStyleInfo name="West Hill-style" showColumnStripes="0" showFirstColumn="1" showLastColumn="1" showRowStripes="1"/>
</table>
</file>

<file path=xl/tables/table37.xml><?xml version="1.0" encoding="utf-8"?>
<table xmlns="http://schemas.openxmlformats.org/spreadsheetml/2006/main" ref="E2:F7" displayName="Table346" name="Table346" id="37">
  <tableColumns count="2">
    <tableColumn name="Tier" id="1"/>
    <tableColumn name="Points per Item" id="2"/>
  </tableColumns>
  <tableStyleInfo name="West Hill-style 2" showColumnStripes="0" showFirstColumn="1" showLastColumn="1" showRowStripes="1"/>
</table>
</file>

<file path=xl/tables/table38.xml><?xml version="1.0" encoding="utf-8"?>
<table xmlns="http://schemas.openxmlformats.org/spreadsheetml/2006/main" ref="A2:C8" displayName="Table116" name="Table116" id="38">
  <tableColumns count="3">
    <tableColumn name="Tier" id="1"/>
    <tableColumn name="Holes" id="2"/>
    <tableColumn name="Points" id="3"/>
  </tableColumns>
  <tableStyleInfo name="Swinley Forest-style" showColumnStripes="0" showFirstColumn="1" showLastColumn="1" showRowStripes="1"/>
</table>
</file>

<file path=xl/tables/table39.xml><?xml version="1.0" encoding="utf-8"?>
<table xmlns="http://schemas.openxmlformats.org/spreadsheetml/2006/main" ref="E2:F7" displayName="Table317" name="Table317" id="39">
  <tableColumns count="2">
    <tableColumn name="Tier" id="1"/>
    <tableColumn name="Points per Item" id="2"/>
  </tableColumns>
  <tableStyleInfo name="Swinley Forest-style 2" showColumnStripes="0" showFirstColumn="1" showLastColumn="1" showRowStripes="1"/>
</table>
</file>

<file path=xl/tables/table40.xml><?xml version="1.0" encoding="utf-8"?>
<table xmlns="http://schemas.openxmlformats.org/spreadsheetml/2006/main" ref="A2:C8" displayName="Table125" name="Table125" id="40">
  <tableColumns count="3">
    <tableColumn name="Tier" id="1"/>
    <tableColumn name="Holes" id="2"/>
    <tableColumn name="Points" id="3"/>
  </tableColumns>
  <tableStyleInfo name="Pleasington-style" showColumnStripes="0" showFirstColumn="1" showLastColumn="1" showRowStripes="1"/>
</table>
</file>

<file path=xl/tables/table41.xml><?xml version="1.0" encoding="utf-8"?>
<table xmlns="http://schemas.openxmlformats.org/spreadsheetml/2006/main" ref="E2:F7" displayName="Table326" name="Table326" id="41">
  <tableColumns count="2">
    <tableColumn name="Tier" id="1"/>
    <tableColumn name="Points per Item" id="2"/>
  </tableColumns>
  <tableStyleInfo name="Pleasington-style 2" showColumnStripes="0" showFirstColumn="1" showLastColumn="1" showRowStripes="1"/>
</table>
</file>

<file path=xl/tables/table42.xml><?xml version="1.0" encoding="utf-8"?>
<table xmlns="http://schemas.openxmlformats.org/spreadsheetml/2006/main" ref="A2:C8" displayName="Table133" name="Table133" id="42">
  <tableColumns count="3">
    <tableColumn name="Tier" id="1"/>
    <tableColumn name="Holes" id="2"/>
    <tableColumn name="Points" id="3"/>
  </tableColumns>
  <tableStyleInfo name="Carbrook-style" showColumnStripes="0" showFirstColumn="1" showLastColumn="1" showRowStripes="1"/>
</table>
</file>

<file path=xl/tables/table43.xml><?xml version="1.0" encoding="utf-8"?>
<table xmlns="http://schemas.openxmlformats.org/spreadsheetml/2006/main" ref="E2:F7" displayName="Table334" name="Table334" id="43">
  <tableColumns count="2">
    <tableColumn name="Tier" id="1"/>
    <tableColumn name="Points per Item" id="2"/>
  </tableColumns>
  <tableStyleInfo name="Carbrook-style 2" showColumnStripes="0" showFirstColumn="1" showLastColumn="1" showRowStripes="1"/>
</table>
</file>

<file path=xl/tables/table44.xml><?xml version="1.0" encoding="utf-8"?>
<table xmlns="http://schemas.openxmlformats.org/spreadsheetml/2006/main" ref="A2:C8" displayName="Table129" name="Table129" id="44">
  <tableColumns count="3">
    <tableColumn name="Tier" id="1"/>
    <tableColumn name="Holes" id="2"/>
    <tableColumn name="Points" id="3"/>
  </tableColumns>
  <tableStyleInfo name="The Glades-style" showColumnStripes="0" showFirstColumn="1" showLastColumn="1" showRowStripes="1"/>
</table>
</file>

<file path=xl/tables/table45.xml><?xml version="1.0" encoding="utf-8"?>
<table xmlns="http://schemas.openxmlformats.org/spreadsheetml/2006/main" ref="E2:F7" displayName="Table330" name="Table330" id="45">
  <tableColumns count="2">
    <tableColumn name="Tier" id="1"/>
    <tableColumn name="Points per Item" id="2"/>
  </tableColumns>
  <tableStyleInfo name="The Glades-style 2" showColumnStripes="0" showFirstColumn="1" showLastColumn="1" showRowStripes="1"/>
</table>
</file>

<file path=xl/tables/table46.xml><?xml version="1.0" encoding="utf-8"?>
<table xmlns="http://schemas.openxmlformats.org/spreadsheetml/2006/main" ref="A2:C8" displayName="Table131" name="Table131" id="46">
  <tableColumns count="3">
    <tableColumn name="Tier" id="1"/>
    <tableColumn name="Holes" id="2"/>
    <tableColumn name="Points" id="3"/>
  </tableColumns>
  <tableStyleInfo name="Byron Bay-style" showColumnStripes="0" showFirstColumn="1" showLastColumn="1" showRowStripes="1"/>
</table>
</file>

<file path=xl/tables/table47.xml><?xml version="1.0" encoding="utf-8"?>
<table xmlns="http://schemas.openxmlformats.org/spreadsheetml/2006/main" ref="E2:F7" displayName="Table332" name="Table332" id="47">
  <tableColumns count="2">
    <tableColumn name="Tier" id="1"/>
    <tableColumn name="Points per Item" id="2"/>
  </tableColumns>
  <tableStyleInfo name="Byron Bay-style 2" showColumnStripes="0" showFirstColumn="1" showLastColumn="1" showRowStripes="1"/>
</table>
</file>

<file path=xl/tables/table48.xml><?xml version="1.0" encoding="utf-8"?>
<table xmlns="http://schemas.openxmlformats.org/spreadsheetml/2006/main" ref="A2:C8" displayName="Table119" name="Table119" id="48">
  <tableColumns count="3">
    <tableColumn name="Tier" id="1"/>
    <tableColumn name="Holes" id="2"/>
    <tableColumn name="Points" id="3"/>
  </tableColumns>
  <tableStyleInfo name="Brookwater-style" showColumnStripes="0" showFirstColumn="1" showLastColumn="1" showRowStripes="1"/>
</table>
</file>

<file path=xl/tables/table49.xml><?xml version="1.0" encoding="utf-8"?>
<table xmlns="http://schemas.openxmlformats.org/spreadsheetml/2006/main" ref="E2:F7" displayName="Table320" name="Table320" id="49">
  <tableColumns count="2">
    <tableColumn name="Tier" id="1"/>
    <tableColumn name="Points per Item" id="2"/>
  </tableColumns>
  <tableStyleInfo name="Brookwater-style 2" showColumnStripes="0" showFirstColumn="1" showLastColumn="1" showRowStripes="1"/>
</table>
</file>

<file path=xl/tables/table50.xml><?xml version="1.0" encoding="utf-8"?>
<table xmlns="http://schemas.openxmlformats.org/spreadsheetml/2006/main" ref="A2:C8" displayName="Table127" name="Table127" id="50">
  <tableColumns count="3">
    <tableColumn name="Tier" id="1"/>
    <tableColumn name="Holes" id="2"/>
    <tableColumn name="Points" id="3"/>
  </tableColumns>
  <tableStyleInfo name="Royal Queensland-style" showColumnStripes="0" showFirstColumn="1" showLastColumn="1" showRowStripes="1"/>
</table>
</file>

<file path=xl/tables/table51.xml><?xml version="1.0" encoding="utf-8"?>
<table xmlns="http://schemas.openxmlformats.org/spreadsheetml/2006/main" ref="E2:F7" displayName="Table328" name="Table328" id="51">
  <tableColumns count="2">
    <tableColumn name="Tier" id="1"/>
    <tableColumn name="Points per Item" id="2"/>
  </tableColumns>
  <tableStyleInfo name="Royal Queensland-style 2" showColumnStripes="0" showFirstColumn="1" showLastColumn="1" showRowStripes="1"/>
</table>
</file>

<file path=xl/tables/table52.xml><?xml version="1.0" encoding="utf-8"?>
<table xmlns="http://schemas.openxmlformats.org/spreadsheetml/2006/main" ref="A2:C8" displayName="Table147" name="Table147" id="52">
  <tableColumns count="3">
    <tableColumn name="Tier" id="1"/>
    <tableColumn name="Holes" id="2"/>
    <tableColumn name="Points" id="3"/>
  </tableColumns>
  <tableStyleInfo name="Hollinwell-style" showColumnStripes="0" showFirstColumn="1" showLastColumn="1" showRowStripes="1"/>
</table>
</file>

<file path=xl/tables/table53.xml><?xml version="1.0" encoding="utf-8"?>
<table xmlns="http://schemas.openxmlformats.org/spreadsheetml/2006/main" ref="E2:F7" displayName="Table348" name="Table348" id="53">
  <tableColumns count="2">
    <tableColumn name="Tier" id="1"/>
    <tableColumn name="Points per Item" id="2"/>
  </tableColumns>
  <tableStyleInfo name="Hollinwell-style 2" showColumnStripes="0" showFirstColumn="1" showLastColumn="1" showRowStripes="1"/>
</table>
</file>

<file path=xl/tables/table54.xml><?xml version="1.0" encoding="utf-8"?>
<table xmlns="http://schemas.openxmlformats.org/spreadsheetml/2006/main" ref="A2:C8" displayName="Table151" name="Table151" id="54">
  <tableColumns count="3">
    <tableColumn name="Tier" id="1"/>
    <tableColumn name="Holes" id="2"/>
    <tableColumn name="Points" id="3"/>
  </tableColumns>
  <tableStyleInfo name="Pastures-style" showColumnStripes="0" showFirstColumn="1" showLastColumn="1" showRowStripes="1"/>
</table>
</file>

<file path=xl/tables/table55.xml><?xml version="1.0" encoding="utf-8"?>
<table xmlns="http://schemas.openxmlformats.org/spreadsheetml/2006/main" ref="E2:F7" displayName="Table352" name="Table352" id="55">
  <tableColumns count="2">
    <tableColumn name="Tier" id="1"/>
    <tableColumn name="Points per Item" id="2"/>
  </tableColumns>
  <tableStyleInfo name="Pastur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6.xml"/><Relationship Id="rId5" Type="http://schemas.openxmlformats.org/officeDocument/2006/relationships/table" Target="../tables/table2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32.xml"/><Relationship Id="rId5" Type="http://schemas.openxmlformats.org/officeDocument/2006/relationships/table" Target="../tables/table3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34.xml"/><Relationship Id="rId5" Type="http://schemas.openxmlformats.org/officeDocument/2006/relationships/table" Target="../tables/table3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6.xml"/><Relationship Id="rId5" Type="http://schemas.openxmlformats.org/officeDocument/2006/relationships/table" Target="../tables/table3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4" Type="http://schemas.openxmlformats.org/officeDocument/2006/relationships/table" Target="../tables/table38.xml"/><Relationship Id="rId5" Type="http://schemas.openxmlformats.org/officeDocument/2006/relationships/table" Target="../tables/table3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4" Type="http://schemas.openxmlformats.org/officeDocument/2006/relationships/table" Target="../tables/table40.xml"/><Relationship Id="rId5" Type="http://schemas.openxmlformats.org/officeDocument/2006/relationships/table" Target="../tables/table4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42.xml"/><Relationship Id="rId5" Type="http://schemas.openxmlformats.org/officeDocument/2006/relationships/table" Target="../tables/table43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4" Type="http://schemas.openxmlformats.org/officeDocument/2006/relationships/table" Target="../tables/table44.xml"/><Relationship Id="rId5" Type="http://schemas.openxmlformats.org/officeDocument/2006/relationships/table" Target="../tables/table4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4" Type="http://schemas.openxmlformats.org/officeDocument/2006/relationships/table" Target="../tables/table46.xml"/><Relationship Id="rId5" Type="http://schemas.openxmlformats.org/officeDocument/2006/relationships/table" Target="../tables/table4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4" Type="http://schemas.openxmlformats.org/officeDocument/2006/relationships/table" Target="../tables/table48.xml"/><Relationship Id="rId5" Type="http://schemas.openxmlformats.org/officeDocument/2006/relationships/table" Target="../tables/table49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4" Type="http://schemas.openxmlformats.org/officeDocument/2006/relationships/table" Target="../tables/table50.xml"/><Relationship Id="rId5" Type="http://schemas.openxmlformats.org/officeDocument/2006/relationships/table" Target="../tables/table51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52.xml"/><Relationship Id="rId5" Type="http://schemas.openxmlformats.org/officeDocument/2006/relationships/table" Target="../tables/table53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54.xml"/><Relationship Id="rId5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/>
      <c r="C3" s="11" t="str">
        <f t="shared" ref="C3:C7" si="1">IF(TRIM(B3)="","",(LEN(B3)-LEN(SUBSTITUTE(B3,",",""))+1) * VLOOKUP(A3,$E$3:$F$7,2,FALSE))</f>
        <v/>
      </c>
      <c r="E3" s="12" t="s">
        <v>8</v>
      </c>
      <c r="F3" s="13">
        <v>3.0</v>
      </c>
    </row>
    <row r="4" ht="14.25" customHeight="1">
      <c r="A4" s="8" t="s">
        <v>12</v>
      </c>
      <c r="B4" s="10"/>
      <c r="C4" s="11" t="str">
        <f t="shared" si="1"/>
        <v/>
      </c>
      <c r="E4" s="12" t="s">
        <v>12</v>
      </c>
      <c r="F4" s="13">
        <v>2.0</v>
      </c>
    </row>
    <row r="5" ht="14.25" customHeight="1">
      <c r="A5" s="8" t="s">
        <v>14</v>
      </c>
      <c r="B5" s="10"/>
      <c r="C5" s="11" t="str">
        <f t="shared" si="1"/>
        <v/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/>
      <c r="E11" s="26" t="s">
        <v>24</v>
      </c>
      <c r="F11" s="27" t="str">
        <f>(C8)</f>
        <v>0/54</v>
      </c>
    </row>
    <row r="12" ht="14.25" customHeight="1">
      <c r="A12" s="24" t="s">
        <v>25</v>
      </c>
      <c r="B12" s="25"/>
      <c r="E12" s="26" t="s">
        <v>26</v>
      </c>
      <c r="F12" s="27" t="str">
        <f>(B17)</f>
        <v>0/46</v>
      </c>
    </row>
    <row r="13" ht="14.25" customHeight="1">
      <c r="A13" s="24" t="s">
        <v>27</v>
      </c>
      <c r="B13" s="25"/>
      <c r="E13" s="28" t="s">
        <v>28</v>
      </c>
      <c r="F13" s="29" t="str">
        <f>(VALUE(LEFT(F11,FIND("/",F11)-1)) + VALUE(LEFT(F12,FIND("/",F12)-1))) &amp; "/100"</f>
        <v>0/100</v>
      </c>
    </row>
    <row r="14" ht="14.25" customHeight="1">
      <c r="A14" s="24" t="s">
        <v>29</v>
      </c>
      <c r="B14" s="25"/>
    </row>
    <row r="15" ht="14.25" customHeight="1">
      <c r="A15" s="24" t="s">
        <v>30</v>
      </c>
      <c r="B15" s="25"/>
    </row>
    <row r="16" ht="14.25" customHeight="1">
      <c r="A16" s="24" t="s">
        <v>31</v>
      </c>
      <c r="B16" s="31"/>
    </row>
    <row r="17" ht="14.25" customHeight="1">
      <c r="A17" s="32" t="s">
        <v>28</v>
      </c>
      <c r="B17" s="33" t="str">
        <f>SUM(B11:B16) &amp; "/46"</f>
        <v>0/46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F8431DCA-4AC8-46FE-976C-5C50AB9AE850}" filter="1" showAutoFilter="1">
      <autoFilter ref="$E$2:$F$7"/>
      <extLst>
        <ext uri="GoogleSheetsCustomDataVersion1">
          <go:sheetsCustomData xmlns:go="http://customooxmlschemas.google.com/" filterViewId="704333901"/>
        </ext>
      </extLst>
    </customSheetView>
    <customSheetView guid="{C5783448-EDF7-4F77-A2C0-646280CAE740}" filter="1" showAutoFilter="1">
      <autoFilter ref="$A$2:$C$8"/>
      <extLst>
        <ext uri="GoogleSheetsCustomDataVersion1">
          <go:sheetsCustomData xmlns:go="http://customooxmlschemas.google.com/" filterViewId="88513132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1.25"/>
    <col customWidth="1" min="3" max="3" width="9.88"/>
    <col customWidth="1" min="4" max="4" width="11.5"/>
    <col customWidth="1" min="5" max="5" width="19.0"/>
    <col customWidth="1" min="6" max="6" width="14.75"/>
    <col customWidth="1" min="7" max="26" width="8.63"/>
  </cols>
  <sheetData>
    <row r="1" ht="14.25" customHeight="1">
      <c r="A1" s="3" t="s">
        <v>1</v>
      </c>
      <c r="B1" s="3" t="s">
        <v>4</v>
      </c>
      <c r="C1" s="3" t="s">
        <v>5</v>
      </c>
      <c r="D1" s="3" t="s">
        <v>6</v>
      </c>
    </row>
    <row r="2" ht="14.25" customHeight="1">
      <c r="A2" s="9" t="s">
        <v>9</v>
      </c>
      <c r="B2" s="14" t="str">
        <f t="array" ref="B2">IF(A2="","",INDIRECT("'" &amp; SUBSTITUTE(A2,"'","''") &amp; "'!F13"))</f>
        <v>82/100</v>
      </c>
      <c r="C2" s="9" t="str">
        <f t="array" ref="C2">INDIRECT("'" &amp; SUBSTITUTE(A2,"'","''") &amp; "'!C8")</f>
        <v>43/54</v>
      </c>
      <c r="D2" s="9" t="str">
        <f t="array" ref="D2">INDIRECT("'" &amp; SUBSTITUTE(A2,"'","''") &amp; "'!b17")</f>
        <v>39/46</v>
      </c>
      <c r="G2" s="30"/>
    </row>
    <row r="3" ht="14.25" customHeight="1">
      <c r="A3" s="9" t="s">
        <v>32</v>
      </c>
      <c r="B3" s="14" t="str">
        <f t="array" ref="B3">IF(A3="","",INDIRECT("'" &amp; SUBSTITUTE(A3,"'","''") &amp; "'!F13"))</f>
        <v>83/100</v>
      </c>
      <c r="C3" s="9" t="str">
        <f t="array" ref="C3">INDIRECT("'" &amp; SUBSTITUTE(A3,"'","''") &amp; "'!C8")</f>
        <v>47/54</v>
      </c>
      <c r="D3" s="9" t="str">
        <f t="array" ref="D3">INDIRECT("'" &amp; SUBSTITUTE(A3,"'","''") &amp; "'!b17")</f>
        <v>36/46</v>
      </c>
      <c r="G3" s="30"/>
    </row>
    <row r="4" ht="14.25" customHeight="1">
      <c r="A4" s="9" t="s">
        <v>33</v>
      </c>
      <c r="B4" s="14" t="str">
        <f t="array" ref="B4">IF(A4="","",INDIRECT("'" &amp; SUBSTITUTE(A4,"'","''") &amp; "'!F13"))</f>
        <v>62/100</v>
      </c>
      <c r="C4" s="9" t="str">
        <f t="array" ref="C4">INDIRECT("'" &amp; SUBSTITUTE(A4,"'","''") &amp; "'!C8")</f>
        <v>26/54</v>
      </c>
      <c r="D4" s="9" t="str">
        <f t="array" ref="D4">INDIRECT("'" &amp; SUBSTITUTE(A4,"'","''") &amp; "'!b17")</f>
        <v>36/46</v>
      </c>
    </row>
    <row r="5" ht="14.25" customHeight="1">
      <c r="A5" s="9" t="s">
        <v>34</v>
      </c>
      <c r="B5" s="14" t="str">
        <f t="array" ref="B5">IF(A5="","",INDIRECT("'" &amp; SUBSTITUTE(A5,"'","''") &amp; "'!F13"))</f>
        <v>69/100</v>
      </c>
      <c r="C5" s="9" t="str">
        <f t="array" ref="C5">INDIRECT("'" &amp; SUBSTITUTE(A5,"'","''") &amp; "'!C8")</f>
        <v>35/54</v>
      </c>
      <c r="D5" s="9" t="str">
        <f t="array" ref="D5">INDIRECT("'" &amp; SUBSTITUTE(A5,"'","''") &amp; "'!b17")</f>
        <v>34/46</v>
      </c>
    </row>
    <row r="6" ht="14.25" customHeight="1">
      <c r="A6" s="9" t="s">
        <v>47</v>
      </c>
      <c r="B6" s="14" t="str">
        <f t="array" ref="B6">IF(A6="","",INDIRECT("'" &amp; SUBSTITUTE(A6,"'","''") &amp; "'!F13"))</f>
        <v>54/100</v>
      </c>
      <c r="C6" s="9" t="str">
        <f t="array" ref="C6">INDIRECT("'" &amp; SUBSTITUTE(A6,"'","''") &amp; "'!C8")</f>
        <v>20/54</v>
      </c>
      <c r="D6" s="9" t="str">
        <f t="array" ref="D6">INDIRECT("'" &amp; SUBSTITUTE(A6,"'","''") &amp; "'!b17")</f>
        <v>34/46</v>
      </c>
    </row>
    <row r="7" ht="14.25" customHeight="1">
      <c r="A7" s="9" t="s">
        <v>48</v>
      </c>
      <c r="B7" s="14" t="str">
        <f t="array" ref="B7">IF(A7="","",INDIRECT("'" &amp; SUBSTITUTE(A7,"'","''") &amp; "'!F13"))</f>
        <v>63/100</v>
      </c>
      <c r="C7" s="9" t="str">
        <f t="array" ref="C7">INDIRECT("'" &amp; SUBSTITUTE(A7,"'","''") &amp; "'!C8")</f>
        <v>30/54</v>
      </c>
      <c r="D7" s="9" t="str">
        <f t="array" ref="D7">INDIRECT("'" &amp; SUBSTITUTE(A7,"'","''") &amp; "'!b17")</f>
        <v>33/46</v>
      </c>
    </row>
    <row r="8" ht="14.25" customHeight="1">
      <c r="A8" s="9" t="s">
        <v>52</v>
      </c>
      <c r="B8" s="14" t="str">
        <f t="array" ref="B8">IF(A8="","",INDIRECT("'" &amp; SUBSTITUTE(A8,"'","''") &amp; "'!F13"))</f>
        <v>68/100</v>
      </c>
      <c r="C8" s="9" t="str">
        <f t="array" ref="C8">INDIRECT("'" &amp; SUBSTITUTE(A8,"'","''") &amp; "'!C8")</f>
        <v>36/54</v>
      </c>
      <c r="D8" s="9" t="str">
        <f t="array" ref="D8">INDIRECT("'" &amp; SUBSTITUTE(A8,"'","''") &amp; "'!b17")</f>
        <v>32/46</v>
      </c>
    </row>
    <row r="9" ht="14.25" customHeight="1">
      <c r="A9" s="9" t="s">
        <v>61</v>
      </c>
      <c r="B9" s="14" t="str">
        <f t="array" ref="B9">IF(A9="","",INDIRECT("'" &amp; SUBSTITUTE(A9,"'","''") &amp; "'!F13"))</f>
        <v>66/100</v>
      </c>
      <c r="C9" s="9" t="str">
        <f t="array" ref="C9">INDIRECT("'" &amp; SUBSTITUTE(A9,"'","''") &amp; "'!C8")</f>
        <v>34/54</v>
      </c>
      <c r="D9" s="9" t="str">
        <f t="array" ref="D9">INDIRECT("'" &amp; SUBSTITUTE(A9,"'","''") &amp; "'!b17")</f>
        <v>32/46</v>
      </c>
    </row>
    <row r="10" ht="14.25" customHeight="1">
      <c r="A10" s="9" t="s">
        <v>63</v>
      </c>
      <c r="B10" s="14" t="str">
        <f t="array" ref="B10">IF(A10="","",INDIRECT("'" &amp; SUBSTITUTE(A10,"'","''") &amp; "'!F13"))</f>
        <v>71/100</v>
      </c>
      <c r="C10" s="9" t="str">
        <f t="array" ref="C10">INDIRECT("'" &amp; SUBSTITUTE(A10,"'","''") &amp; "'!C8")</f>
        <v>40/54</v>
      </c>
      <c r="D10" s="9" t="str">
        <f t="array" ref="D10">INDIRECT("'" &amp; SUBSTITUTE(A10,"'","''") &amp; "'!b17")</f>
        <v>31/46</v>
      </c>
    </row>
    <row r="11" ht="14.25" customHeight="1">
      <c r="A11" s="9" t="s">
        <v>66</v>
      </c>
      <c r="B11" s="14" t="str">
        <f t="array" ref="B11">IF(A11="","",INDIRECT("'" &amp; SUBSTITUTE(A11,"'","''") &amp; "'!F13"))</f>
        <v>70/100</v>
      </c>
      <c r="C11" s="9" t="str">
        <f t="array" ref="C11">INDIRECT("'" &amp; SUBSTITUTE(A11,"'","''") &amp; "'!C8")</f>
        <v>39/54</v>
      </c>
      <c r="D11" s="9" t="str">
        <f t="array" ref="D11">INDIRECT("'" &amp; SUBSTITUTE(A11,"'","''") &amp; "'!b17")</f>
        <v>31/46</v>
      </c>
    </row>
    <row r="12" ht="14.25" customHeight="1">
      <c r="A12" s="9" t="s">
        <v>68</v>
      </c>
      <c r="B12" s="14" t="str">
        <f t="array" ref="B12">IF(A12="","",INDIRECT("'" &amp; SUBSTITUTE(A12,"'","''") &amp; "'!F13"))</f>
        <v>68/100</v>
      </c>
      <c r="C12" s="9" t="str">
        <f t="array" ref="C12">INDIRECT("'" &amp; SUBSTITUTE(A12,"'","''") &amp; "'!C8")</f>
        <v>37/54</v>
      </c>
      <c r="D12" s="9" t="str">
        <f t="array" ref="D12">INDIRECT("'" &amp; SUBSTITUTE(A12,"'","''") &amp; "'!b17")</f>
        <v>31/46</v>
      </c>
    </row>
    <row r="13" ht="14.25" customHeight="1">
      <c r="A13" s="9" t="s">
        <v>73</v>
      </c>
      <c r="B13" s="14" t="str">
        <f t="array" ref="B13">IF(A13="","",INDIRECT("'" &amp; SUBSTITUTE(A13,"'","''") &amp; "'!F13"))</f>
        <v>61/100</v>
      </c>
      <c r="C13" s="9" t="str">
        <f t="array" ref="C13">INDIRECT("'" &amp; SUBSTITUTE(A13,"'","''") &amp; "'!C8")</f>
        <v>30/54</v>
      </c>
      <c r="D13" s="9" t="str">
        <f t="array" ref="D13">INDIRECT("'" &amp; SUBSTITUTE(A13,"'","''") &amp; "'!b17")</f>
        <v>31/46</v>
      </c>
    </row>
    <row r="14" ht="14.25" customHeight="1">
      <c r="A14" s="36" t="s">
        <v>81</v>
      </c>
      <c r="B14" s="14" t="str">
        <f t="array" ref="B14">IF(A14="","",INDIRECT("'" &amp; SUBSTITUTE(A14,"'","''") &amp; "'!F13"))</f>
        <v>60/100</v>
      </c>
      <c r="C14" s="9" t="str">
        <f t="array" ref="C14">INDIRECT("'" &amp; SUBSTITUTE(A14,"'","''") &amp; "'!C8")</f>
        <v>29/54</v>
      </c>
      <c r="D14" s="9" t="str">
        <f t="array" ref="D14">INDIRECT("'" &amp; SUBSTITUTE(A14,"'","''") &amp; "'!b17")</f>
        <v>31/46</v>
      </c>
    </row>
    <row r="15" ht="14.25" customHeight="1">
      <c r="A15" s="9" t="s">
        <v>82</v>
      </c>
      <c r="B15" s="14" t="str">
        <f t="array" ref="B15">IF(A15="","",INDIRECT("'" &amp; SUBSTITUTE(A15,"'","''") &amp; "'!F13"))</f>
        <v>59/100</v>
      </c>
      <c r="C15" s="9" t="str">
        <f t="array" ref="C15">INDIRECT("'" &amp; SUBSTITUTE(A15,"'","''") &amp; "'!C8")</f>
        <v>28/54</v>
      </c>
      <c r="D15" s="9" t="str">
        <f t="array" ref="D15">INDIRECT("'" &amp; SUBSTITUTE(A15,"'","''") &amp; "'!b17")</f>
        <v>31/46</v>
      </c>
    </row>
    <row r="16" ht="14.25" customHeight="1">
      <c r="A16" s="9" t="s">
        <v>89</v>
      </c>
      <c r="B16" s="14" t="str">
        <f t="array" ref="B16">IF(A16="","",INDIRECT("'" &amp; SUBSTITUTE(A16,"'","''") &amp; "'!F13"))</f>
        <v>63/100</v>
      </c>
      <c r="C16" s="9" t="str">
        <f t="array" ref="C16">INDIRECT("'" &amp; SUBSTITUTE(A16,"'","''") &amp; "'!C8")</f>
        <v>33/54</v>
      </c>
      <c r="D16" s="9" t="str">
        <f t="array" ref="D16">INDIRECT("'" &amp; SUBSTITUTE(A16,"'","''") &amp; "'!b17")</f>
        <v>30/46</v>
      </c>
    </row>
    <row r="17" ht="14.25" customHeight="1">
      <c r="A17" s="9" t="s">
        <v>94</v>
      </c>
      <c r="B17" s="14" t="str">
        <f t="array" ref="B17">IF(A17="","",INDIRECT("'" &amp; SUBSTITUTE(A17,"'","''") &amp; "'!F13"))</f>
        <v>63/100</v>
      </c>
      <c r="C17" s="9" t="str">
        <f t="array" ref="C17">INDIRECT("'" &amp; SUBSTITUTE(A17,"'","''") &amp; "'!C8")</f>
        <v>34/54</v>
      </c>
      <c r="D17" s="9" t="str">
        <f t="array" ref="D17">INDIRECT("'" &amp; SUBSTITUTE(A17,"'","''") &amp; "'!b17")</f>
        <v>29/46</v>
      </c>
    </row>
    <row r="18" ht="14.25" customHeight="1">
      <c r="A18" s="9" t="s">
        <v>95</v>
      </c>
      <c r="B18" s="14" t="str">
        <f t="array" ref="B18">IF(A18="","",INDIRECT("'" &amp; SUBSTITUTE(A18,"'","''") &amp; "'!F13"))</f>
        <v>61/100</v>
      </c>
      <c r="C18" s="9" t="str">
        <f t="array" ref="C18">INDIRECT("'" &amp; SUBSTITUTE(A18,"'","''") &amp; "'!C8")</f>
        <v>33/54</v>
      </c>
      <c r="D18" s="9" t="str">
        <f t="array" ref="D18">INDIRECT("'" &amp; SUBSTITUTE(A18,"'","''") &amp; "'!b17")</f>
        <v>28/46</v>
      </c>
    </row>
    <row r="19" ht="14.25" customHeight="1">
      <c r="A19" s="9" t="s">
        <v>100</v>
      </c>
      <c r="B19" s="14" t="str">
        <f t="array" ref="B19">IF(A19="","",INDIRECT("'" &amp; SUBSTITUTE(A19,"'","''") &amp; "'!F13"))</f>
        <v>60/100</v>
      </c>
      <c r="C19" s="9" t="str">
        <f t="array" ref="C19">INDIRECT("'" &amp; SUBSTITUTE(A19,"'","''") &amp; "'!C8")</f>
        <v>32/54</v>
      </c>
      <c r="D19" s="9" t="str">
        <f t="array" ref="D19">INDIRECT("'" &amp; SUBSTITUTE(A19,"'","''") &amp; "'!b17")</f>
        <v>28/46</v>
      </c>
    </row>
    <row r="20" ht="14.25" customHeight="1">
      <c r="A20" s="9" t="s">
        <v>106</v>
      </c>
      <c r="B20" s="14" t="str">
        <f t="array" ref="B20">IF(A20="","",INDIRECT("'" &amp; SUBSTITUTE(A20,"'","''") &amp; "'!F13"))</f>
        <v>65/100</v>
      </c>
      <c r="C20" s="9" t="str">
        <f t="array" ref="C20">INDIRECT("'" &amp; SUBSTITUTE(A20,"'","''") &amp; "'!C8")</f>
        <v>39/54</v>
      </c>
      <c r="D20" s="9" t="str">
        <f t="array" ref="D20">INDIRECT("'" &amp; SUBSTITUTE(A20,"'","''") &amp; "'!b17")</f>
        <v>26/46</v>
      </c>
    </row>
    <row r="21" ht="14.25" customHeight="1">
      <c r="A21" s="9" t="s">
        <v>108</v>
      </c>
      <c r="B21" s="14" t="str">
        <f t="array" ref="B21">IF(A21="","",INDIRECT("'" &amp; SUBSTITUTE(A21,"'","''") &amp; "'!F13"))</f>
        <v>56/100</v>
      </c>
      <c r="C21" s="9" t="str">
        <f t="array" ref="C21">INDIRECT("'" &amp; SUBSTITUTE(A21,"'","''") &amp; "'!C8")</f>
        <v>30/54</v>
      </c>
      <c r="D21" s="9" t="str">
        <f t="array" ref="D21">INDIRECT("'" &amp; SUBSTITUTE(A21,"'","''") &amp; "'!b17")</f>
        <v>26/46</v>
      </c>
    </row>
    <row r="22" ht="14.25" customHeight="1">
      <c r="A22" s="9" t="s">
        <v>114</v>
      </c>
      <c r="B22" s="14" t="str">
        <f t="array" ref="B22">IF(A22="","",INDIRECT("'" &amp; SUBSTITUTE(A22,"'","''") &amp; "'!F13"))</f>
        <v>40/73</v>
      </c>
      <c r="C22" s="9" t="str">
        <f t="array" ref="C22">INDIRECT("'" &amp; SUBSTITUTE(A22,"'","''") &amp; "'!C8")</f>
        <v>14/27</v>
      </c>
      <c r="D22" s="9" t="str">
        <f t="array" ref="D22">INDIRECT("'" &amp; SUBSTITUTE(A22,"'","''") &amp; "'!b17")</f>
        <v>26/46</v>
      </c>
    </row>
    <row r="23" ht="14.25" customHeight="1">
      <c r="A23" s="9" t="s">
        <v>117</v>
      </c>
      <c r="B23" s="14" t="str">
        <f t="array" ref="B23">IF(A23="","",INDIRECT("'" &amp; SUBSTITUTE(A23,"'","''") &amp; "'!F13"))</f>
        <v>31/100</v>
      </c>
      <c r="C23" s="9" t="str">
        <f t="array" ref="C23">INDIRECT("'" &amp; SUBSTITUTE(A23,"'","''") &amp; "'!C8")</f>
        <v>7/54</v>
      </c>
      <c r="D23" s="9" t="str">
        <f t="array" ref="D23">INDIRECT("'" &amp; SUBSTITUTE(A23,"'","''") &amp; "'!b17")</f>
        <v>24/46</v>
      </c>
    </row>
    <row r="24" ht="14.25" customHeight="1">
      <c r="A24" s="9" t="s">
        <v>124</v>
      </c>
      <c r="B24" s="14" t="str">
        <f t="array" ref="B24">IF(A24="","",INDIRECT("'" &amp; SUBSTITUTE(A24,"'","''") &amp; "'!F13"))</f>
        <v>55/100</v>
      </c>
      <c r="C24" s="9" t="str">
        <f t="array" ref="C24">INDIRECT("'" &amp; SUBSTITUTE(A24,"'","''") &amp; "'!C8")</f>
        <v>33/54</v>
      </c>
      <c r="D24" s="9" t="str">
        <f t="array" ref="D24">INDIRECT("'" &amp; SUBSTITUTE(A24,"'","''") &amp; "'!b17")</f>
        <v>22/46</v>
      </c>
    </row>
    <row r="25" ht="14.25" customHeight="1">
      <c r="A25" s="9" t="s">
        <v>128</v>
      </c>
      <c r="B25" s="14" t="str">
        <f t="array" ref="B25">IF(A25="","",INDIRECT("'" &amp; SUBSTITUTE(A25,"'","''") &amp; "'!F13"))</f>
        <v>28/100</v>
      </c>
      <c r="C25" s="9" t="str">
        <f t="array" ref="C25">INDIRECT("'" &amp; SUBSTITUTE(A25,"'","''") &amp; "'!C8")</f>
        <v>6/54</v>
      </c>
      <c r="D25" s="9" t="str">
        <f t="array" ref="D25">INDIRECT("'" &amp; SUBSTITUTE(A25,"'","''") &amp; "'!b17")</f>
        <v>22/46</v>
      </c>
    </row>
    <row r="26" ht="14.25" customHeight="1">
      <c r="A26" s="9" t="s">
        <v>129</v>
      </c>
      <c r="B26" s="14" t="str">
        <f t="array" ref="B26">IF(A26="","",INDIRECT("'" &amp; SUBSTITUTE(A26,"'","''") &amp; "'!F13"))</f>
        <v>26/100</v>
      </c>
      <c r="C26" s="9" t="str">
        <f t="array" ref="C26">INDIRECT("'" &amp; SUBSTITUTE(A26,"'","''") &amp; "'!C8")</f>
        <v>7/54</v>
      </c>
      <c r="D26" s="9" t="str">
        <f t="array" ref="D26">INDIRECT("'" &amp; SUBSTITUTE(A26,"'","''") &amp; "'!b17")</f>
        <v>19/46</v>
      </c>
    </row>
    <row r="27" ht="14.25" customHeight="1">
      <c r="A27" s="9" t="s">
        <v>135</v>
      </c>
      <c r="B27" s="14" t="str">
        <f t="array" ref="B27">IF(A27="","",INDIRECT("'" &amp; SUBSTITUTE(A27,"'","''") &amp; "'!F13"))</f>
        <v>0/100</v>
      </c>
      <c r="C27" s="9" t="str">
        <f t="array" ref="C27">INDIRECT("'" &amp; SUBSTITUTE(A27,"'","''") &amp; "'!C8")</f>
        <v>0/54</v>
      </c>
      <c r="D27" s="9" t="str">
        <f t="array" ref="D27">INDIRECT("'" &amp; SUBSTITUTE(A27,"'","''") &amp; "'!b17")</f>
        <v>0/46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CB84D88-1FFC-44D7-8F8B-48641971515B}" filter="1" showAutoFilter="1">
      <autoFilter ref="$A$1:$D$27"/>
      <extLst>
        <ext uri="GoogleSheetsCustomDataVersion1">
          <go:sheetsCustomData xmlns:go="http://customooxmlschemas.google.com/" filterViewId="8690979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8.3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10</v>
      </c>
      <c r="C3" s="11">
        <f t="shared" ref="C3:C7" si="1">IF(TRIM(B3)="","",(LEN(B3)-LEN(SUBSTITUTE(B3,",",""))+1) * VLOOKUP(A3,$E$3:$F$7,2,FALSE))</f>
        <v>15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13</v>
      </c>
      <c r="C4" s="11">
        <f t="shared" si="1"/>
        <v>18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16</v>
      </c>
      <c r="C5" s="11">
        <f t="shared" si="1"/>
        <v>2</v>
      </c>
      <c r="E5" s="12" t="s">
        <v>14</v>
      </c>
      <c r="F5" s="13">
        <v>1.0</v>
      </c>
    </row>
    <row r="6" ht="14.25" customHeight="1">
      <c r="A6" s="8" t="s">
        <v>17</v>
      </c>
      <c r="B6" s="10">
        <v>18.0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>
        <v>7.0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34/54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4.0</v>
      </c>
      <c r="E11" s="26" t="s">
        <v>24</v>
      </c>
      <c r="F11" s="27" t="str">
        <f>(C8)</f>
        <v>34/54</v>
      </c>
    </row>
    <row r="12" ht="14.25" customHeight="1">
      <c r="A12" s="24" t="s">
        <v>25</v>
      </c>
      <c r="B12" s="25">
        <v>5.0</v>
      </c>
      <c r="E12" s="26" t="s">
        <v>26</v>
      </c>
      <c r="F12" s="27" t="str">
        <f>(B17)</f>
        <v>32/46</v>
      </c>
    </row>
    <row r="13" ht="14.25" customHeight="1">
      <c r="A13" s="24" t="s">
        <v>27</v>
      </c>
      <c r="B13" s="25">
        <v>7.0</v>
      </c>
      <c r="E13" s="28" t="s">
        <v>28</v>
      </c>
      <c r="F13" s="29" t="str">
        <f>(VALUE(LEFT(F11,FIND("/",F11)-1)) + VALUE(LEFT(F12,FIND("/",F12)-1))) &amp; "/100"</f>
        <v>66/100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8.0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32/46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2A1A3AB-5F3F-449D-AA6E-326D9E7B4D8D}" filter="1" showAutoFilter="1">
      <autoFilter ref="$E$2:$F$7"/>
      <extLst>
        <ext uri="GoogleSheetsCustomDataVersion1">
          <go:sheetsCustomData xmlns:go="http://customooxmlschemas.google.com/" filterViewId="622492403"/>
        </ext>
      </extLst>
    </customSheetView>
    <customSheetView guid="{09B2533C-CAB9-4501-8878-6DF4F88985D7}" filter="1" showAutoFilter="1">
      <autoFilter ref="$A$2:$C$8"/>
      <extLst>
        <ext uri="GoogleSheetsCustomDataVersion1">
          <go:sheetsCustomData xmlns:go="http://customooxmlschemas.google.com/" filterViewId="930537777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11</v>
      </c>
      <c r="C3" s="11">
        <f t="shared" ref="C3:C7" si="1">IF(TRIM(B3)="","",(LEN(B3)-LEN(SUBSTITUTE(B3,",",""))+1) * VLOOKUP(A3,$E$3:$F$7,2,FALSE))</f>
        <v>21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15</v>
      </c>
      <c r="C4" s="11">
        <f t="shared" si="1"/>
        <v>10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19</v>
      </c>
      <c r="C5" s="11">
        <f t="shared" si="1"/>
        <v>5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>
        <v>13.0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35/54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5.0</v>
      </c>
      <c r="E11" s="26" t="s">
        <v>24</v>
      </c>
      <c r="F11" s="27" t="str">
        <f>(C8)</f>
        <v>35/54</v>
      </c>
    </row>
    <row r="12" ht="14.25" customHeight="1">
      <c r="A12" s="24" t="s">
        <v>25</v>
      </c>
      <c r="B12" s="25">
        <v>8.0</v>
      </c>
      <c r="E12" s="26" t="s">
        <v>26</v>
      </c>
      <c r="F12" s="27" t="str">
        <f>(B17)</f>
        <v>34/46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69/100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5.0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34/46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6DE3FAE-6E44-4D5A-9D0F-643F180368AE}" filter="1" showAutoFilter="1">
      <autoFilter ref="$E$2:$F$7"/>
      <extLst>
        <ext uri="GoogleSheetsCustomDataVersion1">
          <go:sheetsCustomData xmlns:go="http://customooxmlschemas.google.com/" filterViewId="1326304337"/>
        </ext>
      </extLst>
    </customSheetView>
    <customSheetView guid="{699604E0-9AC4-40EF-B30B-864983E6EC12}" filter="1" showAutoFilter="1">
      <autoFilter ref="$A$2:$C$8"/>
      <extLst>
        <ext uri="GoogleSheetsCustomDataVersion1">
          <go:sheetsCustomData xmlns:go="http://customooxmlschemas.google.com/" filterViewId="2134188515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0.3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35</v>
      </c>
      <c r="C3" s="11">
        <f t="shared" ref="C3:C7" si="1">IF(TRIM(B3)="","",(LEN(B3)-LEN(SUBSTITUTE(B3,",",""))+1) * VLOOKUP(A3,$E$3:$F$7,2,FALSE))</f>
        <v>12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37</v>
      </c>
      <c r="C4" s="11">
        <f t="shared" si="1"/>
        <v>16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39</v>
      </c>
      <c r="C5" s="11">
        <f t="shared" si="1"/>
        <v>5</v>
      </c>
      <c r="E5" s="12" t="s">
        <v>14</v>
      </c>
      <c r="F5" s="13">
        <v>1.0</v>
      </c>
    </row>
    <row r="6" ht="14.25" customHeight="1">
      <c r="A6" s="8" t="s">
        <v>17</v>
      </c>
      <c r="B6" s="10">
        <v>4.0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33/54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3.0</v>
      </c>
      <c r="E11" s="26" t="s">
        <v>24</v>
      </c>
      <c r="F11" s="27" t="str">
        <f>(C8)</f>
        <v>33/54</v>
      </c>
    </row>
    <row r="12" ht="14.25" customHeight="1">
      <c r="A12" s="24" t="s">
        <v>25</v>
      </c>
      <c r="B12" s="25">
        <v>5.0</v>
      </c>
      <c r="E12" s="26" t="s">
        <v>26</v>
      </c>
      <c r="F12" s="27" t="str">
        <f>(B17)</f>
        <v>22/46</v>
      </c>
    </row>
    <row r="13" ht="14.25" customHeight="1">
      <c r="A13" s="24" t="s">
        <v>27</v>
      </c>
      <c r="B13" s="25">
        <v>0.0</v>
      </c>
      <c r="E13" s="28" t="s">
        <v>28</v>
      </c>
      <c r="F13" s="29" t="str">
        <f>(VALUE(LEFT(F11,FIND("/",F11)-1)) + VALUE(LEFT(F12,FIND("/",F12)-1))) &amp; "/100"</f>
        <v>55/100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7.0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22/46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61C1FE19-A632-493A-8294-BE796D1B98DF}" filter="1" showAutoFilter="1">
      <autoFilter ref="$E$2:$F$7"/>
      <extLst>
        <ext uri="GoogleSheetsCustomDataVersion1">
          <go:sheetsCustomData xmlns:go="http://customooxmlschemas.google.com/" filterViewId="1703415640"/>
        </ext>
      </extLst>
    </customSheetView>
    <customSheetView guid="{7EE709F2-A6FA-4753-B94F-90AA3B7C4DCD}" filter="1" showAutoFilter="1">
      <autoFilter ref="$A$2:$C$8"/>
      <extLst>
        <ext uri="GoogleSheetsCustomDataVersion1">
          <go:sheetsCustomData xmlns:go="http://customooxmlschemas.google.com/" filterViewId="626815927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3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34" t="s">
        <v>36</v>
      </c>
      <c r="C3" s="11">
        <f t="shared" ref="C3:C6" si="1">IF(TRIM(B3)="","",(LEN(B3)-LEN(SUBSTITUTE(B3,",",""))+1) * VLOOKUP(A3,$E$3:$F$7,2,FALSE))</f>
        <v>6</v>
      </c>
      <c r="E3" s="12" t="s">
        <v>8</v>
      </c>
      <c r="F3" s="13">
        <v>3.0</v>
      </c>
    </row>
    <row r="4" ht="14.25" customHeight="1">
      <c r="A4" s="8" t="s">
        <v>12</v>
      </c>
      <c r="B4" s="34" t="s">
        <v>40</v>
      </c>
      <c r="C4" s="11">
        <f t="shared" si="1"/>
        <v>22</v>
      </c>
      <c r="E4" s="12" t="s">
        <v>12</v>
      </c>
      <c r="F4" s="13">
        <v>2.0</v>
      </c>
    </row>
    <row r="5" ht="14.25" customHeight="1">
      <c r="A5" s="8" t="s">
        <v>14</v>
      </c>
      <c r="B5" s="34" t="s">
        <v>41</v>
      </c>
      <c r="C5" s="11">
        <f t="shared" si="1"/>
        <v>2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43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 t="s">
        <v>46</v>
      </c>
      <c r="C7" s="11">
        <v>-1.0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29/54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7.0</v>
      </c>
      <c r="E11" s="26" t="s">
        <v>24</v>
      </c>
      <c r="F11" s="27" t="str">
        <f>(C8)</f>
        <v>29/54</v>
      </c>
    </row>
    <row r="12" ht="14.25" customHeight="1">
      <c r="A12" s="24" t="s">
        <v>25</v>
      </c>
      <c r="B12" s="25">
        <v>4.0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60/100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4.0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90386528-E762-4BCC-B9D0-D9F5B1A1EDF7}" filter="1" showAutoFilter="1">
      <autoFilter ref="$E$2:$F$7"/>
      <extLst>
        <ext uri="GoogleSheetsCustomDataVersion1">
          <go:sheetsCustomData xmlns:go="http://customooxmlschemas.google.com/" filterViewId="1399721608"/>
        </ext>
      </extLst>
    </customSheetView>
    <customSheetView guid="{ACD72D3E-88D9-4805-8610-7400B18F3C90}" filter="1" showAutoFilter="1">
      <autoFilter ref="$A$2:$C$8"/>
      <extLst>
        <ext uri="GoogleSheetsCustomDataVersion1">
          <go:sheetsCustomData xmlns:go="http://customooxmlschemas.google.com/" filterViewId="199216551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7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38</v>
      </c>
      <c r="C3" s="11">
        <f t="shared" ref="C3:C7" si="1">IF(TRIM(B3)="","",(LEN(B3)-LEN(SUBSTITUTE(B3,",",""))+1) * VLOOKUP(A3,$E$3:$F$7,2,FALSE))</f>
        <v>21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42</v>
      </c>
      <c r="C4" s="11">
        <f t="shared" si="1"/>
        <v>6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44</v>
      </c>
      <c r="C5" s="11">
        <f t="shared" si="1"/>
        <v>4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45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>
        <v>9.0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4.0</v>
      </c>
      <c r="E11" s="26" t="s">
        <v>24</v>
      </c>
      <c r="F11" s="27" t="str">
        <f>(C8)</f>
        <v>30/54</v>
      </c>
    </row>
    <row r="12" ht="14.25" customHeight="1">
      <c r="A12" s="24" t="s">
        <v>25</v>
      </c>
      <c r="B12" s="25">
        <v>7.0</v>
      </c>
      <c r="E12" s="26" t="s">
        <v>26</v>
      </c>
      <c r="F12" s="27" t="str">
        <f>(B17)</f>
        <v>33/46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63/100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8.0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33/46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FCB7C278-750F-4C01-AB08-5169841B9483}" filter="1" showAutoFilter="1">
      <autoFilter ref="$E$2:$F$7"/>
      <extLst>
        <ext uri="GoogleSheetsCustomDataVersion1">
          <go:sheetsCustomData xmlns:go="http://customooxmlschemas.google.com/" filterViewId="1428106572"/>
        </ext>
      </extLst>
    </customSheetView>
    <customSheetView guid="{4BBB2412-0005-4389-AFBA-0537BD970D3F}" filter="1" showAutoFilter="1">
      <autoFilter ref="$A$2:$C$8"/>
      <extLst>
        <ext uri="GoogleSheetsCustomDataVersion1">
          <go:sheetsCustomData xmlns:go="http://customooxmlschemas.google.com/" filterViewId="178434418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1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49</v>
      </c>
      <c r="C3" s="11">
        <f t="shared" ref="C3:C7" si="1">IF(TRIM(B3)="","",(LEN(B3)-LEN(SUBSTITUTE(B3,",",""))+1) * VLOOKUP(A3,$E$3:$F$7,2,FALSE))</f>
        <v>24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50</v>
      </c>
      <c r="C4" s="11">
        <f t="shared" si="1"/>
        <v>10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53</v>
      </c>
      <c r="C5" s="11">
        <f t="shared" si="1"/>
        <v>4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>
        <v>11.0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37/54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4.0</v>
      </c>
      <c r="E11" s="26" t="s">
        <v>24</v>
      </c>
      <c r="F11" s="27" t="str">
        <f>(C8)</f>
        <v>37/54</v>
      </c>
      <c r="I11" s="22"/>
      <c r="J11" s="23"/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68/100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5.0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FF7A2EE9-93B1-4924-A723-BFDF53961162}" filter="1" showAutoFilter="1">
      <autoFilter ref="$A$2:$C$8"/>
      <extLst>
        <ext uri="GoogleSheetsCustomDataVersion1">
          <go:sheetsCustomData xmlns:go="http://customooxmlschemas.google.com/" filterViewId="1210824850"/>
        </ext>
      </extLst>
    </customSheetView>
    <customSheetView guid="{29C0690C-878D-4DB3-AD6C-F280F0C06EE7}" filter="1" showAutoFilter="1">
      <autoFilter ref="$E$2:$F$7"/>
      <extLst>
        <ext uri="GoogleSheetsCustomDataVersion1">
          <go:sheetsCustomData xmlns:go="http://customooxmlschemas.google.com/" filterViewId="1568941010"/>
        </ext>
      </extLst>
    </customSheetView>
  </customSheetViews>
  <mergeCells count="5">
    <mergeCell ref="A1:C1"/>
    <mergeCell ref="E1:F1"/>
    <mergeCell ref="A10:B10"/>
    <mergeCell ref="E10:F10"/>
    <mergeCell ref="I11:J1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3.3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51</v>
      </c>
      <c r="C3" s="11">
        <f t="shared" ref="C3:C7" si="1">IF(TRIM(B3)="","",(LEN(B3)-LEN(SUBSTITUTE(B3,",",""))+1) * VLOOKUP(A3,$E$3:$F$7,2,FALSE))</f>
        <v>15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54</v>
      </c>
      <c r="C4" s="11">
        <f t="shared" si="1"/>
        <v>12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55</v>
      </c>
      <c r="C5" s="11">
        <f t="shared" si="1"/>
        <v>2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57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>
        <v>18.0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28/54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4.0</v>
      </c>
      <c r="E11" s="26" t="s">
        <v>24</v>
      </c>
      <c r="F11" s="27" t="str">
        <f>(C8)</f>
        <v>28/54</v>
      </c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59/100</v>
      </c>
    </row>
    <row r="14" ht="14.25" customHeight="1">
      <c r="A14" s="24" t="s">
        <v>29</v>
      </c>
      <c r="B14" s="25">
        <v>7.0</v>
      </c>
    </row>
    <row r="15" ht="14.25" customHeight="1">
      <c r="A15" s="24" t="s">
        <v>30</v>
      </c>
      <c r="B15" s="25">
        <v>5.0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318BC15-B225-4DAD-A0F3-D5FDBD1B5074}" filter="1" showAutoFilter="1">
      <autoFilter ref="$A$2:$C$8"/>
      <extLst>
        <ext uri="GoogleSheetsCustomDataVersion1">
          <go:sheetsCustomData xmlns:go="http://customooxmlschemas.google.com/" filterViewId="2055048975"/>
        </ext>
      </extLst>
    </customSheetView>
    <customSheetView guid="{ABF581B3-C8FC-4097-8967-85CA8518CDDF}" filter="1" showAutoFilter="1">
      <autoFilter ref="$E$2:$F$7"/>
      <extLst>
        <ext uri="GoogleSheetsCustomDataVersion1">
          <go:sheetsCustomData xmlns:go="http://customooxmlschemas.google.com/" filterViewId="705334759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3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56</v>
      </c>
      <c r="C3" s="11">
        <f t="shared" ref="C3:C7" si="1">IF(TRIM(B3)="","",(LEN(B3)-LEN(SUBSTITUTE(B3,",",""))+1) * _xlfn.XLOOKUP(A3,$E$3:$E$7,$F$3:$F$7))</f>
        <v>9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58</v>
      </c>
      <c r="C4" s="11">
        <f t="shared" si="1"/>
        <v>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59</v>
      </c>
      <c r="C5" s="11">
        <f t="shared" si="1"/>
        <v>5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60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 t="s">
        <v>62</v>
      </c>
      <c r="C7" s="11">
        <f t="shared" si="1"/>
        <v>-2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20/54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5.0</v>
      </c>
      <c r="E11" s="26" t="s">
        <v>24</v>
      </c>
      <c r="F11" s="27" t="str">
        <f>(C8)</f>
        <v>20/54</v>
      </c>
    </row>
    <row r="12" ht="14.25" customHeight="1">
      <c r="A12" s="24" t="s">
        <v>25</v>
      </c>
      <c r="B12" s="25">
        <v>5.0</v>
      </c>
      <c r="E12" s="26" t="s">
        <v>26</v>
      </c>
      <c r="F12" s="27" t="str">
        <f>(B17)</f>
        <v>34/46</v>
      </c>
    </row>
    <row r="13" ht="14.25" customHeight="1">
      <c r="A13" s="24" t="s">
        <v>27</v>
      </c>
      <c r="B13" s="25">
        <v>9.0</v>
      </c>
      <c r="E13" s="28" t="s">
        <v>28</v>
      </c>
      <c r="F13" s="29" t="str">
        <f>(VALUE(LEFT(F11,FIND("/",F11)-1)) + VALUE(LEFT(F12,FIND("/",F12)-1))) &amp; "/100"</f>
        <v>54/100</v>
      </c>
    </row>
    <row r="14" ht="14.25" customHeight="1">
      <c r="A14" s="24" t="s">
        <v>29</v>
      </c>
      <c r="B14" s="25">
        <v>8.0</v>
      </c>
    </row>
    <row r="15" ht="14.25" customHeight="1">
      <c r="A15" s="24" t="s">
        <v>30</v>
      </c>
      <c r="B15" s="25">
        <v>7.0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34/46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8A72652-2174-4AD9-956F-36E5606F6C39}" filter="1" showAutoFilter="1">
      <autoFilter ref="$E$2:$F$7"/>
      <extLst>
        <ext uri="GoogleSheetsCustomDataVersion1">
          <go:sheetsCustomData xmlns:go="http://customooxmlschemas.google.com/" filterViewId="1034208463"/>
        </ext>
      </extLst>
    </customSheetView>
    <customSheetView guid="{835E18CC-2422-4E20-9881-C08DFF42D34F}" filter="1" showAutoFilter="1">
      <autoFilter ref="$A$2:$C$8"/>
      <extLst>
        <ext uri="GoogleSheetsCustomDataVersion1">
          <go:sheetsCustomData xmlns:go="http://customooxmlschemas.google.com/" filterViewId="397784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/>
      <c r="C3" s="11" t="str">
        <f t="shared" ref="C3:C7" si="1">IF(TRIM(B3)="","",(LEN(B3)-LEN(SUBSTITUTE(B3,",",""))+1) * _xlfn.XLOOKUP(A3,$E$3:$E$7,$F$3:$F$7))</f>
        <v/>
      </c>
      <c r="E3" s="12" t="s">
        <v>8</v>
      </c>
      <c r="F3" s="13">
        <v>3.0</v>
      </c>
    </row>
    <row r="4" ht="14.25" customHeight="1">
      <c r="A4" s="8" t="s">
        <v>12</v>
      </c>
      <c r="B4" s="10"/>
      <c r="C4" s="11" t="str">
        <f t="shared" si="1"/>
        <v/>
      </c>
      <c r="E4" s="12" t="s">
        <v>12</v>
      </c>
      <c r="F4" s="13">
        <v>2.0</v>
      </c>
    </row>
    <row r="5" ht="14.25" customHeight="1">
      <c r="A5" s="8" t="s">
        <v>14</v>
      </c>
      <c r="B5" s="10"/>
      <c r="C5" s="11" t="str">
        <f t="shared" si="1"/>
        <v/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/>
      <c r="E11" s="26" t="s">
        <v>24</v>
      </c>
      <c r="F11" s="27" t="str">
        <f>(C8)</f>
        <v>0/54</v>
      </c>
    </row>
    <row r="12" ht="14.25" customHeight="1">
      <c r="A12" s="24" t="s">
        <v>25</v>
      </c>
      <c r="B12" s="25"/>
      <c r="E12" s="26" t="s">
        <v>26</v>
      </c>
      <c r="F12" s="27" t="str">
        <f>(B17)</f>
        <v>0/46</v>
      </c>
    </row>
    <row r="13" ht="14.25" customHeight="1">
      <c r="A13" s="24" t="s">
        <v>27</v>
      </c>
      <c r="B13" s="25"/>
      <c r="E13" s="28" t="s">
        <v>28</v>
      </c>
      <c r="F13" s="29" t="str">
        <f>(VALUE(LEFT(F11,FIND("/",F11)-1)) + VALUE(LEFT(F12,FIND("/",F12)-1))) &amp; "/100"</f>
        <v>0/100</v>
      </c>
    </row>
    <row r="14" ht="14.25" customHeight="1">
      <c r="A14" s="24" t="s">
        <v>29</v>
      </c>
      <c r="B14" s="25"/>
    </row>
    <row r="15" ht="14.25" customHeight="1">
      <c r="A15" s="24" t="s">
        <v>30</v>
      </c>
      <c r="B15" s="25"/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0/46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76C3EF79-FE96-43F7-B17B-72B7FDCA05A3}" filter="1" showAutoFilter="1">
      <autoFilter ref="$A$2:$C$8"/>
      <extLst>
        <ext uri="GoogleSheetsCustomDataVersion1">
          <go:sheetsCustomData xmlns:go="http://customooxmlschemas.google.com/" filterViewId="1120000400"/>
        </ext>
      </extLst>
    </customSheetView>
    <customSheetView guid="{96D1D27E-F4DC-4A92-8B7E-3F498AE9AB3B}" filter="1" showAutoFilter="1">
      <autoFilter ref="$E$2:$F$7"/>
      <extLst>
        <ext uri="GoogleSheetsCustomDataVersion1">
          <go:sheetsCustomData xmlns:go="http://customooxmlschemas.google.com/" filterViewId="715333374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5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64</v>
      </c>
      <c r="C3" s="11">
        <f t="shared" ref="C3:C7" si="1">IF(TRIM(B3)="","",(LEN(B3)-LEN(SUBSTITUTE(B3,",",""))+1) * _xlfn.XLOOKUP(A3,$E$3:$E$7,$F$3:$F$7))</f>
        <v>27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65</v>
      </c>
      <c r="C4" s="11">
        <f t="shared" si="1"/>
        <v>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67</v>
      </c>
      <c r="C5" s="11">
        <f t="shared" si="1"/>
        <v>4</v>
      </c>
      <c r="E5" s="12" t="s">
        <v>14</v>
      </c>
      <c r="F5" s="13">
        <v>1.0</v>
      </c>
    </row>
    <row r="6" ht="14.25" customHeight="1">
      <c r="A6" s="8" t="s">
        <v>17</v>
      </c>
      <c r="B6" s="10">
        <v>9.0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39/54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3.0</v>
      </c>
      <c r="E11" s="26" t="s">
        <v>24</v>
      </c>
      <c r="F11" s="27" t="str">
        <f>(C8)</f>
        <v>39/54</v>
      </c>
    </row>
    <row r="12" ht="14.25" customHeight="1">
      <c r="A12" s="24" t="s">
        <v>25</v>
      </c>
      <c r="B12" s="25">
        <v>4.0</v>
      </c>
      <c r="E12" s="26" t="s">
        <v>26</v>
      </c>
      <c r="F12" s="27" t="str">
        <f>(B17)</f>
        <v>26/46</v>
      </c>
    </row>
    <row r="13" ht="14.25" customHeight="1">
      <c r="A13" s="24" t="s">
        <v>27</v>
      </c>
      <c r="B13" s="25">
        <v>6.0</v>
      </c>
      <c r="E13" s="28" t="s">
        <v>28</v>
      </c>
      <c r="F13" s="29" t="str">
        <f>(VALUE(LEFT(F11,FIND("/",F11)-1)) + VALUE(LEFT(F12,FIND("/",F12)-1))) &amp; "/100"</f>
        <v>65/100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7.0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26/46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376C646-BAD8-4937-A3A3-532E750F00E7}" filter="1" showAutoFilter="1">
      <autoFilter ref="$E$2:$F$7"/>
      <extLst>
        <ext uri="GoogleSheetsCustomDataVersion1">
          <go:sheetsCustomData xmlns:go="http://customooxmlschemas.google.com/" filterViewId="489901714"/>
        </ext>
      </extLst>
    </customSheetView>
    <customSheetView guid="{48A207BE-03A5-42CA-9C87-4E5DBD428763}" filter="1" showAutoFilter="1">
      <autoFilter ref="$A$2:$C$8"/>
      <extLst>
        <ext uri="GoogleSheetsCustomDataVersion1">
          <go:sheetsCustomData xmlns:go="http://customooxmlschemas.google.com/" filterViewId="51072556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7.13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/>
      <c r="C3" s="11" t="str">
        <f t="shared" ref="C3:C7" si="1">IF(TRIM(B3)="","",(LEN(B3)-LEN(SUBSTITUTE(B3,",",""))+1) * _xlfn.XLOOKUP(A3,$E$3:$E$7,$F$3:$F$7))</f>
        <v/>
      </c>
      <c r="E3" s="12" t="s">
        <v>8</v>
      </c>
      <c r="F3" s="13">
        <v>3.0</v>
      </c>
    </row>
    <row r="4" ht="14.25" customHeight="1">
      <c r="A4" s="8" t="s">
        <v>12</v>
      </c>
      <c r="B4" s="10" t="s">
        <v>69</v>
      </c>
      <c r="C4" s="11">
        <f t="shared" si="1"/>
        <v>6</v>
      </c>
      <c r="E4" s="12" t="s">
        <v>12</v>
      </c>
      <c r="F4" s="13">
        <v>2.0</v>
      </c>
    </row>
    <row r="5" ht="14.25" customHeight="1">
      <c r="A5" s="8" t="s">
        <v>14</v>
      </c>
      <c r="B5" s="35" t="s">
        <v>70</v>
      </c>
      <c r="C5" s="11">
        <f t="shared" si="1"/>
        <v>7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71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 t="s">
        <v>72</v>
      </c>
      <c r="C7" s="11">
        <f t="shared" si="1"/>
        <v>-6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7/54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7.0</v>
      </c>
      <c r="E11" s="26" t="s">
        <v>24</v>
      </c>
      <c r="F11" s="27" t="str">
        <f>(C8)</f>
        <v>7/54</v>
      </c>
    </row>
    <row r="12" ht="14.25" customHeight="1">
      <c r="A12" s="24" t="s">
        <v>25</v>
      </c>
      <c r="B12" s="25">
        <v>8.0</v>
      </c>
      <c r="E12" s="26" t="s">
        <v>26</v>
      </c>
      <c r="F12" s="27" t="str">
        <f>(B17)</f>
        <v>19/46</v>
      </c>
    </row>
    <row r="13" ht="14.25" customHeight="1">
      <c r="A13" s="24" t="s">
        <v>27</v>
      </c>
      <c r="B13" s="25">
        <v>1.0</v>
      </c>
      <c r="E13" s="28" t="s">
        <v>28</v>
      </c>
      <c r="F13" s="29" t="str">
        <f>(VALUE(LEFT(F11,FIND("/",F11)-1)) + VALUE(LEFT(F12,FIND("/",F12)-1))) &amp; "/100"</f>
        <v>26/100</v>
      </c>
    </row>
    <row r="14" ht="14.25" customHeight="1">
      <c r="A14" s="24" t="s">
        <v>29</v>
      </c>
      <c r="B14" s="25">
        <v>1.0</v>
      </c>
    </row>
    <row r="15" ht="14.25" customHeight="1">
      <c r="A15" s="24" t="s">
        <v>30</v>
      </c>
      <c r="B15" s="25">
        <v>2.0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19/46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77D7C4BB-478E-4043-A706-4C622F02470E}" filter="1" showAutoFilter="1">
      <autoFilter ref="$E$2:$F$7"/>
      <extLst>
        <ext uri="GoogleSheetsCustomDataVersion1">
          <go:sheetsCustomData xmlns:go="http://customooxmlschemas.google.com/" filterViewId="639908776"/>
        </ext>
      </extLst>
    </customSheetView>
    <customSheetView guid="{08AF1400-AE71-4241-A883-60022B33912B}" filter="1" showAutoFilter="1">
      <autoFilter ref="$A$2:$C$8"/>
      <extLst>
        <ext uri="GoogleSheetsCustomDataVersion1">
          <go:sheetsCustomData xmlns:go="http://customooxmlschemas.google.com/" filterViewId="678428141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13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/>
      <c r="C3" s="11" t="str">
        <f t="shared" ref="C3:C7" si="1">IF(TRIM(B3)="","",(LEN(B3)-LEN(SUBSTITUTE(B3,",",""))+1) * _xlfn.XLOOKUP(A3,$E$3:$E$7,$F$3:$F$7))</f>
        <v/>
      </c>
      <c r="E3" s="12" t="s">
        <v>8</v>
      </c>
      <c r="F3" s="13">
        <v>3.0</v>
      </c>
    </row>
    <row r="4" ht="14.25" customHeight="1">
      <c r="A4" s="8" t="s">
        <v>12</v>
      </c>
      <c r="B4" s="10" t="s">
        <v>74</v>
      </c>
      <c r="C4" s="11">
        <f t="shared" si="1"/>
        <v>4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76</v>
      </c>
      <c r="C5" s="11">
        <f t="shared" si="1"/>
        <v>7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77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 t="s">
        <v>79</v>
      </c>
      <c r="C7" s="11">
        <f t="shared" si="1"/>
        <v>-5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6/54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6.0</v>
      </c>
      <c r="E11" s="26" t="s">
        <v>24</v>
      </c>
      <c r="F11" s="27" t="str">
        <f>(C8)</f>
        <v>6/54</v>
      </c>
    </row>
    <row r="12" ht="14.25" customHeight="1">
      <c r="A12" s="24" t="s">
        <v>25</v>
      </c>
      <c r="B12" s="25">
        <v>2.0</v>
      </c>
      <c r="E12" s="26" t="s">
        <v>26</v>
      </c>
      <c r="F12" s="27" t="str">
        <f>(B17)</f>
        <v>22/46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28/100</v>
      </c>
    </row>
    <row r="14" ht="14.25" customHeight="1">
      <c r="A14" s="24" t="s">
        <v>29</v>
      </c>
      <c r="B14" s="25">
        <v>4.0</v>
      </c>
    </row>
    <row r="15" ht="14.25" customHeight="1">
      <c r="A15" s="24" t="s">
        <v>30</v>
      </c>
      <c r="B15" s="25">
        <v>2.0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22/46</v>
      </c>
    </row>
    <row r="18" ht="14.25" customHeight="1">
      <c r="F18" s="22"/>
      <c r="G18" s="23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F18E9105-B054-4CCB-B415-88F247AEE1A1}" filter="1" showAutoFilter="1">
      <autoFilter ref="$E$2:$F$7"/>
      <extLst>
        <ext uri="GoogleSheetsCustomDataVersion1">
          <go:sheetsCustomData xmlns:go="http://customooxmlschemas.google.com/" filterViewId="2060996453"/>
        </ext>
      </extLst>
    </customSheetView>
    <customSheetView guid="{C46D81DC-D525-4046-838F-AD2D44F8F7E4}" filter="1" showAutoFilter="1">
      <autoFilter ref="$A$2:$C$8"/>
      <extLst>
        <ext uri="GoogleSheetsCustomDataVersion1">
          <go:sheetsCustomData xmlns:go="http://customooxmlschemas.google.com/" filterViewId="422737002"/>
        </ext>
      </extLst>
    </customSheetView>
  </customSheetViews>
  <mergeCells count="5">
    <mergeCell ref="A1:C1"/>
    <mergeCell ref="E1:F1"/>
    <mergeCell ref="A10:B10"/>
    <mergeCell ref="E10:F10"/>
    <mergeCell ref="F18:G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8.8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35" t="s">
        <v>75</v>
      </c>
      <c r="C3" s="11">
        <f t="shared" ref="C3:C7" si="1">IF(TRIM(B3)="","",(LEN(B3)-LEN(SUBSTITUTE(B3,",",""))+1) * VLOOKUP(A3,$E$3:$F$7,2,FALSE))</f>
        <v>21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78</v>
      </c>
      <c r="C4" s="11">
        <f t="shared" si="1"/>
        <v>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80</v>
      </c>
      <c r="C5" s="11">
        <f t="shared" si="1"/>
        <v>5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71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34/54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5.0</v>
      </c>
      <c r="E11" s="26" t="s">
        <v>24</v>
      </c>
      <c r="F11" s="27" t="str">
        <f>(C8)</f>
        <v>34/54</v>
      </c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29/46</v>
      </c>
    </row>
    <row r="13" ht="14.25" customHeight="1">
      <c r="A13" s="24" t="s">
        <v>27</v>
      </c>
      <c r="B13" s="25">
        <v>4.0</v>
      </c>
      <c r="E13" s="28" t="s">
        <v>28</v>
      </c>
      <c r="F13" s="29" t="str">
        <f>(VALUE(LEFT(F11,FIND("/",F11)-1)) + VALUE(LEFT(F12,FIND("/",F12)-1))) &amp; "/100"</f>
        <v>63/100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8.0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29/46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47B1EE9-6309-46AD-9C3F-358FE1106D5A}" filter="1" showAutoFilter="1">
      <autoFilter ref="$A$2:$C$8"/>
      <extLst>
        <ext uri="GoogleSheetsCustomDataVersion1">
          <go:sheetsCustomData xmlns:go="http://customooxmlschemas.google.com/" filterViewId="1939372081"/>
        </ext>
      </extLst>
    </customSheetView>
    <customSheetView guid="{9531ED74-29D5-4DB3-830B-ABC6E0CE6D44}" filter="1" showAutoFilter="1">
      <autoFilter ref="$E$2:$F$7"/>
      <extLst>
        <ext uri="GoogleSheetsCustomDataVersion1">
          <go:sheetsCustomData xmlns:go="http://customooxmlschemas.google.com/" filterViewId="204195813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7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83</v>
      </c>
      <c r="C3" s="11">
        <f t="shared" ref="C3:C7" si="1">IF(TRIM(B3)="","",(LEN(B3)-LEN(SUBSTITUTE(B3,",",""))+1) * VLOOKUP(A3,$E$3:$F$7,2,FALSE))</f>
        <v>15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84</v>
      </c>
      <c r="C4" s="11">
        <f t="shared" si="1"/>
        <v>14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87</v>
      </c>
      <c r="C5" s="11">
        <f t="shared" si="1"/>
        <v>4</v>
      </c>
      <c r="E5" s="12" t="s">
        <v>14</v>
      </c>
      <c r="F5" s="13">
        <v>1.0</v>
      </c>
    </row>
    <row r="6" ht="14.25" customHeight="1">
      <c r="A6" s="8" t="s">
        <v>17</v>
      </c>
      <c r="B6" s="10">
        <v>11.0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>
        <v>10.0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32/54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8.0</v>
      </c>
      <c r="E11" s="26" t="s">
        <v>24</v>
      </c>
      <c r="F11" s="27" t="str">
        <f>(C8)</f>
        <v>32/54</v>
      </c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28/46</v>
      </c>
    </row>
    <row r="13" ht="14.25" customHeight="1">
      <c r="A13" s="24" t="s">
        <v>27</v>
      </c>
      <c r="B13" s="25">
        <v>4.0</v>
      </c>
      <c r="E13" s="28" t="s">
        <v>28</v>
      </c>
      <c r="F13" s="29" t="str">
        <f>(VALUE(LEFT(F11,FIND("/",F11)-1)) + VALUE(LEFT(F12,FIND("/",F12)-1))) &amp; "/100"</f>
        <v>60/100</v>
      </c>
    </row>
    <row r="14" ht="14.25" customHeight="1">
      <c r="A14" s="24" t="s">
        <v>29</v>
      </c>
      <c r="B14" s="25">
        <v>2.0</v>
      </c>
    </row>
    <row r="15" ht="14.25" customHeight="1">
      <c r="A15" s="24" t="s">
        <v>30</v>
      </c>
      <c r="B15" s="25">
        <v>8.0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28/46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32BB9BB2-0F81-456B-945A-6EC03652A21B}" filter="1" showAutoFilter="1">
      <autoFilter ref="$A$2:$C$8"/>
      <extLst>
        <ext uri="GoogleSheetsCustomDataVersion1">
          <go:sheetsCustomData xmlns:go="http://customooxmlschemas.google.com/" filterViewId="1279804937"/>
        </ext>
      </extLst>
    </customSheetView>
    <customSheetView guid="{C4A362FE-B33B-4896-9B38-8C4B9069F9F7}" filter="1" showAutoFilter="1">
      <autoFilter ref="$E$2:$F$7"/>
      <extLst>
        <ext uri="GoogleSheetsCustomDataVersion1">
          <go:sheetsCustomData xmlns:go="http://customooxmlschemas.google.com/" filterViewId="964983927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0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37" t="s">
        <v>85</v>
      </c>
      <c r="C3" s="11">
        <f t="shared" ref="C3:C7" si="1">IF(TRIM(B3)="","",(LEN(B3)-LEN(SUBSTITUTE(B3,",",""))+1) * VLOOKUP(A3,$E$3:$F$7,2,FALSE))</f>
        <v>6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88</v>
      </c>
      <c r="C4" s="11">
        <f t="shared" si="1"/>
        <v>14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91</v>
      </c>
      <c r="C5" s="11">
        <f t="shared" si="1"/>
        <v>6</v>
      </c>
      <c r="E5" s="12" t="s">
        <v>14</v>
      </c>
      <c r="F5" s="13">
        <v>1.0</v>
      </c>
    </row>
    <row r="6" ht="14.25" customHeight="1">
      <c r="A6" s="8" t="s">
        <v>17</v>
      </c>
      <c r="B6" s="37" t="s">
        <v>93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26/54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6.0</v>
      </c>
      <c r="E11" s="26" t="s">
        <v>24</v>
      </c>
      <c r="F11" s="27" t="str">
        <f>(C8)</f>
        <v>26/54</v>
      </c>
    </row>
    <row r="12" ht="14.25" customHeight="1">
      <c r="A12" s="24" t="s">
        <v>25</v>
      </c>
      <c r="B12" s="25">
        <v>7.0</v>
      </c>
      <c r="E12" s="26" t="s">
        <v>26</v>
      </c>
      <c r="F12" s="27" t="str">
        <f>(B17)</f>
        <v>36/46</v>
      </c>
    </row>
    <row r="13" ht="14.25" customHeight="1">
      <c r="A13" s="24" t="s">
        <v>27</v>
      </c>
      <c r="B13" s="25">
        <v>9.0</v>
      </c>
      <c r="E13" s="28" t="s">
        <v>28</v>
      </c>
      <c r="F13" s="29" t="str">
        <f>(VALUE(LEFT(F11,FIND("/",F11)-1)) + VALUE(LEFT(F12,FIND("/",F12)-1))) &amp; "/100"</f>
        <v>62/100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9.0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36/46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B63C6E5-EF48-4302-ADA2-B341CA8E73E6}" filter="1" showAutoFilter="1">
      <autoFilter ref="$E$2:$F$7"/>
      <extLst>
        <ext uri="GoogleSheetsCustomDataVersion1">
          <go:sheetsCustomData xmlns:go="http://customooxmlschemas.google.com/" filterViewId="262232948"/>
        </ext>
      </extLst>
    </customSheetView>
    <customSheetView guid="{8162B8FA-825B-4B5B-B5B7-CFC43CEBE0A9}" filter="1" showAutoFilter="1">
      <autoFilter ref="$A$2:$C$8"/>
      <extLst>
        <ext uri="GoogleSheetsCustomDataVersion1">
          <go:sheetsCustomData xmlns:go="http://customooxmlschemas.google.com/" filterViewId="757525033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4.13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86</v>
      </c>
      <c r="C3" s="11">
        <f t="shared" ref="C3:C7" si="1">IF(TRIM(B3)="","",(LEN(B3)-LEN(SUBSTITUTE(B3,",",""))+1) * _xlfn.XLOOKUP(A3,$E$3:$E$7,$F$3:$F$7))</f>
        <v>18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90</v>
      </c>
      <c r="C4" s="11">
        <f t="shared" si="1"/>
        <v>10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92</v>
      </c>
      <c r="C5" s="11">
        <f t="shared" si="1"/>
        <v>6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>
        <v>13.0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33/54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6.0</v>
      </c>
      <c r="E11" s="26" t="s">
        <v>24</v>
      </c>
      <c r="F11" s="27" t="str">
        <f>(C8)</f>
        <v>33/54</v>
      </c>
    </row>
    <row r="12" ht="14.25" customHeight="1">
      <c r="A12" s="24" t="s">
        <v>25</v>
      </c>
      <c r="B12" s="25">
        <v>5.0</v>
      </c>
      <c r="E12" s="26" t="s">
        <v>26</v>
      </c>
      <c r="F12" s="27" t="str">
        <f>(B17)</f>
        <v>28/46</v>
      </c>
    </row>
    <row r="13" ht="14.25" customHeight="1">
      <c r="A13" s="24" t="s">
        <v>27</v>
      </c>
      <c r="B13" s="25">
        <v>6.0</v>
      </c>
      <c r="E13" s="28" t="s">
        <v>28</v>
      </c>
      <c r="F13" s="29" t="str">
        <f>(VALUE(LEFT(F11,FIND("/",F11)-1)) + VALUE(LEFT(F12,FIND("/",F12)-1))) &amp; "/100"</f>
        <v>61/100</v>
      </c>
    </row>
    <row r="14" ht="14.25" customHeight="1">
      <c r="A14" s="24" t="s">
        <v>29</v>
      </c>
      <c r="B14" s="25">
        <v>6.0</v>
      </c>
    </row>
    <row r="15" ht="14.25" customHeight="1">
      <c r="A15" s="24" t="s">
        <v>30</v>
      </c>
      <c r="B15" s="25">
        <v>5.0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28/46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D03FEDF1-7BAA-4419-B69C-B07CCD9C4D1A}" filter="1" showAutoFilter="1">
      <autoFilter ref="$E$2:$F$7"/>
      <extLst>
        <ext uri="GoogleSheetsCustomDataVersion1">
          <go:sheetsCustomData xmlns:go="http://customooxmlschemas.google.com/" filterViewId="409276152"/>
        </ext>
      </extLst>
    </customSheetView>
    <customSheetView guid="{8980FCA8-34B3-4B61-8014-9B2427F8150A}" filter="1" showAutoFilter="1">
      <autoFilter ref="$A$2:$C$8"/>
      <extLst>
        <ext uri="GoogleSheetsCustomDataVersion1">
          <go:sheetsCustomData xmlns:go="http://customooxmlschemas.google.com/" filterViewId="80457811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2.3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96</v>
      </c>
      <c r="C3" s="11">
        <f t="shared" ref="C3:C7" si="1">IF(TRIM(B3)="","",(LEN(B3)-LEN(SUBSTITUTE(B3,",",""))+1) * VLOOKUP(A3,$E$3:$F$7,2,FALSE))</f>
        <v>27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97</v>
      </c>
      <c r="C4" s="11">
        <f t="shared" si="1"/>
        <v>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98</v>
      </c>
      <c r="C5" s="11">
        <f t="shared" si="1"/>
        <v>4</v>
      </c>
      <c r="E5" s="12" t="s">
        <v>14</v>
      </c>
      <c r="F5" s="13">
        <v>1.0</v>
      </c>
    </row>
    <row r="6" ht="14.25" customHeight="1">
      <c r="A6" s="8" t="s">
        <v>17</v>
      </c>
      <c r="B6" s="10">
        <v>11.0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39/54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6.0</v>
      </c>
      <c r="E11" s="26" t="s">
        <v>24</v>
      </c>
      <c r="F11" s="27" t="str">
        <f>(C8)</f>
        <v>39/54</v>
      </c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6.0</v>
      </c>
      <c r="E13" s="28" t="s">
        <v>28</v>
      </c>
      <c r="F13" s="29" t="str">
        <f>(VALUE(LEFT(F11,FIND("/",F11)-1)) + VALUE(LEFT(F12,FIND("/",F12)-1))) &amp; "/100"</f>
        <v>70/100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7.0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E6EF66D-D667-4A4B-B02B-2A19653471B4}" filter="1" showAutoFilter="1">
      <autoFilter ref="$E$2:$F$7"/>
      <extLst>
        <ext uri="GoogleSheetsCustomDataVersion1">
          <go:sheetsCustomData xmlns:go="http://customooxmlschemas.google.com/" filterViewId="1277619730"/>
        </ext>
      </extLst>
    </customSheetView>
    <customSheetView guid="{045FF8CD-C4AE-419B-9406-D62EBDD4DB3C}" filter="1" showAutoFilter="1">
      <autoFilter ref="$A$2:$C$8"/>
      <extLst>
        <ext uri="GoogleSheetsCustomDataVersion1">
          <go:sheetsCustomData xmlns:go="http://customooxmlschemas.google.com/" filterViewId="1438702573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99</v>
      </c>
      <c r="C3" s="11">
        <f t="shared" ref="C3:C7" si="1">IF(TRIM(B3)="","",(LEN(B3)-LEN(SUBSTITUTE(B3,",",""))+1) * _xlfn.XLOOKUP(A3,$E$3:$E$7,$F$3:$F$7))</f>
        <v>18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101</v>
      </c>
      <c r="C4" s="11">
        <f t="shared" si="1"/>
        <v>12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103</v>
      </c>
      <c r="C5" s="11">
        <f t="shared" si="1"/>
        <v>6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36/54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8.0</v>
      </c>
      <c r="E11" s="26" t="s">
        <v>24</v>
      </c>
      <c r="F11" s="27" t="str">
        <f>(C8)</f>
        <v>36/54</v>
      </c>
    </row>
    <row r="12" ht="14.25" customHeight="1">
      <c r="A12" s="24" t="s">
        <v>25</v>
      </c>
      <c r="B12" s="25">
        <v>5.0</v>
      </c>
      <c r="E12" s="26" t="s">
        <v>26</v>
      </c>
      <c r="F12" s="27" t="str">
        <f>(B17)</f>
        <v>32/46</v>
      </c>
    </row>
    <row r="13" ht="14.25" customHeight="1">
      <c r="A13" s="24" t="s">
        <v>27</v>
      </c>
      <c r="B13" s="25">
        <v>4.0</v>
      </c>
      <c r="E13" s="28" t="s">
        <v>28</v>
      </c>
      <c r="F13" s="29" t="str">
        <f>(VALUE(LEFT(F11,FIND("/",F11)-1)) + VALUE(LEFT(F12,FIND("/",F12)-1))) &amp; "/100"</f>
        <v>68/100</v>
      </c>
    </row>
    <row r="14" ht="14.25" customHeight="1">
      <c r="A14" s="24" t="s">
        <v>29</v>
      </c>
      <c r="B14" s="25">
        <v>8.0</v>
      </c>
    </row>
    <row r="15" ht="14.25" customHeight="1">
      <c r="A15" s="24" t="s">
        <v>30</v>
      </c>
      <c r="B15" s="25">
        <v>6.0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32/46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D42054E1-E5FC-42CF-B842-8B855A47DA9A}" filter="1" showAutoFilter="1">
      <autoFilter ref="$A$2:$C$8"/>
      <extLst>
        <ext uri="GoogleSheetsCustomDataVersion1">
          <go:sheetsCustomData xmlns:go="http://customooxmlschemas.google.com/" filterViewId="1169760486"/>
        </ext>
      </extLst>
    </customSheetView>
    <customSheetView guid="{731D7F8B-708B-4B49-AAD7-70C80BFF2752}" filter="1" showAutoFilter="1">
      <autoFilter ref="$E$2:$F$7"/>
      <extLst>
        <ext uri="GoogleSheetsCustomDataVersion1">
          <go:sheetsCustomData xmlns:go="http://customooxmlschemas.google.com/" filterViewId="697207061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0.2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102</v>
      </c>
      <c r="C3" s="11">
        <f t="shared" ref="C3:C7" si="1">IF(TRIM(B3)="","",(LEN(B3)-LEN(SUBSTITUTE(B3,",",""))+1) * _xlfn.XLOOKUP(A3,$E$3:$E$7,$F$3:$F$7))</f>
        <v>12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104</v>
      </c>
      <c r="C4" s="11">
        <f t="shared" si="1"/>
        <v>16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105</v>
      </c>
      <c r="C5" s="11">
        <f t="shared" si="1"/>
        <v>5</v>
      </c>
      <c r="E5" s="12" t="s">
        <v>14</v>
      </c>
      <c r="F5" s="13">
        <v>1.0</v>
      </c>
    </row>
    <row r="6" ht="14.25" customHeight="1">
      <c r="A6" s="8" t="s">
        <v>17</v>
      </c>
      <c r="B6" s="10">
        <v>15.0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33/54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5.0</v>
      </c>
      <c r="E11" s="26" t="s">
        <v>24</v>
      </c>
      <c r="F11" s="27" t="str">
        <f>(C8)</f>
        <v>33/54</v>
      </c>
    </row>
    <row r="12" ht="14.25" customHeight="1">
      <c r="A12" s="24" t="s">
        <v>25</v>
      </c>
      <c r="B12" s="25">
        <v>7.0</v>
      </c>
      <c r="E12" s="26" t="s">
        <v>26</v>
      </c>
      <c r="F12" s="27" t="str">
        <f>(B17)</f>
        <v>30/46</v>
      </c>
    </row>
    <row r="13" ht="14.25" customHeight="1">
      <c r="A13" s="24" t="s">
        <v>27</v>
      </c>
      <c r="B13" s="25">
        <v>7.0</v>
      </c>
      <c r="E13" s="28" t="s">
        <v>28</v>
      </c>
      <c r="F13" s="29" t="str">
        <f>(VALUE(LEFT(F11,FIND("/",F11)-1)) + VALUE(LEFT(F12,FIND("/",F12)-1))) &amp; "/100"</f>
        <v>63/100</v>
      </c>
    </row>
    <row r="14" ht="14.25" customHeight="1">
      <c r="A14" s="24" t="s">
        <v>29</v>
      </c>
      <c r="B14" s="25">
        <v>6.0</v>
      </c>
    </row>
    <row r="15" ht="14.25" customHeight="1">
      <c r="A15" s="24" t="s">
        <v>30</v>
      </c>
      <c r="B15" s="25">
        <v>4.0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30/46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30FDDEBA-BFF1-4488-803D-C7BF1779BA76}" filter="1" showAutoFilter="1">
      <autoFilter ref="$E$2:$F$7"/>
      <extLst>
        <ext uri="GoogleSheetsCustomDataVersion1">
          <go:sheetsCustomData xmlns:go="http://customooxmlschemas.google.com/" filterViewId="1963390479"/>
        </ext>
      </extLst>
    </customSheetView>
    <customSheetView guid="{4786E4E0-4AA1-433A-B462-DB212577D7BA}" filter="1" showAutoFilter="1">
      <autoFilter ref="$A$2:$C$8"/>
      <extLst>
        <ext uri="GoogleSheetsCustomDataVersion1">
          <go:sheetsCustomData xmlns:go="http://customooxmlschemas.google.com/" filterViewId="89791742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/>
      <c r="C3" s="11" t="str">
        <f t="array" ref="C3">IF(TRIM(B3)="","",(LEN(B3)-LEN(SUBSTITUTE(B3,",",""))+1) * _xlfn.XLOOKUP(A3,$E$3:$E$7,$F$3:$F$7))</f>
        <v/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107</v>
      </c>
      <c r="C4" s="11">
        <f t="shared" ref="C4:C7" si="1">IF(TRIM(B4)="","",(LEN(B4)-LEN(SUBSTITUTE(B4,",",""))+1) * VLOOKUP(A4,$E$3:$F$7,2,FALSE))</f>
        <v>4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109</v>
      </c>
      <c r="C5" s="11">
        <f t="shared" si="1"/>
        <v>7</v>
      </c>
      <c r="E5" s="12" t="s">
        <v>14</v>
      </c>
      <c r="F5" s="13">
        <v>1.0</v>
      </c>
    </row>
    <row r="6" ht="14.25" customHeight="1">
      <c r="A6" s="8" t="s">
        <v>17</v>
      </c>
      <c r="B6" s="10" t="s">
        <v>110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 t="s">
        <v>111</v>
      </c>
      <c r="C7" s="11">
        <f t="shared" si="1"/>
        <v>-4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7/54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7.0</v>
      </c>
      <c r="E11" s="26" t="s">
        <v>24</v>
      </c>
      <c r="F11" s="27" t="str">
        <f>(C8)</f>
        <v>7/54</v>
      </c>
    </row>
    <row r="12" ht="14.25" customHeight="1">
      <c r="A12" s="24" t="s">
        <v>25</v>
      </c>
      <c r="B12" s="25">
        <v>8.0</v>
      </c>
      <c r="E12" s="26" t="s">
        <v>26</v>
      </c>
      <c r="F12" s="27" t="str">
        <f>(B17)</f>
        <v>24/46</v>
      </c>
    </row>
    <row r="13" ht="14.25" customHeight="1">
      <c r="A13" s="24" t="s">
        <v>27</v>
      </c>
      <c r="B13" s="25">
        <v>2.0</v>
      </c>
      <c r="E13" s="28" t="s">
        <v>28</v>
      </c>
      <c r="F13" s="29" t="str">
        <f>(VALUE(LEFT(F11,FIND("/",F11)-1)) + VALUE(LEFT(F12,FIND("/",F12)-1))) &amp; "/100"</f>
        <v>31/100</v>
      </c>
    </row>
    <row r="14" ht="14.25" customHeight="1">
      <c r="A14" s="24" t="s">
        <v>29</v>
      </c>
      <c r="B14" s="25">
        <v>2.0</v>
      </c>
    </row>
    <row r="15" ht="14.25" customHeight="1">
      <c r="A15" s="24" t="s">
        <v>30</v>
      </c>
      <c r="B15" s="25">
        <v>5.0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24/46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C156F3E6-5D01-4E18-B609-E7CAD61D1C42}" filter="1" showAutoFilter="1">
      <autoFilter ref="$A$2:$C$8"/>
      <extLst>
        <ext uri="GoogleSheetsCustomDataVersion1">
          <go:sheetsCustomData xmlns:go="http://customooxmlschemas.google.com/" filterViewId="1784341278"/>
        </ext>
      </extLst>
    </customSheetView>
    <customSheetView guid="{970D7C89-9235-45D3-9660-600C6359EB53}" filter="1" showAutoFilter="1">
      <autoFilter ref="$E$2:$F$7"/>
      <extLst>
        <ext uri="GoogleSheetsCustomDataVersion1">
          <go:sheetsCustomData xmlns:go="http://customooxmlschemas.google.com/" filterViewId="189182042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8.3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112</v>
      </c>
      <c r="C3" s="11">
        <f t="shared" ref="C3:C7" si="1">IF(TRIM(B3)="","",(LEN(B3)-LEN(SUBSTITUTE(B3,",",""))+1) * VLOOKUP(A3,$E$3:$F$7,2,FALSE))</f>
        <v>12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113</v>
      </c>
      <c r="C4" s="11">
        <f t="shared" si="1"/>
        <v>10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115</v>
      </c>
      <c r="C5" s="11">
        <f t="shared" si="1"/>
        <v>8</v>
      </c>
      <c r="E5" s="12" t="s">
        <v>14</v>
      </c>
      <c r="F5" s="13">
        <v>1.0</v>
      </c>
    </row>
    <row r="6" ht="14.25" customHeight="1">
      <c r="A6" s="8" t="s">
        <v>17</v>
      </c>
      <c r="B6" s="10">
        <v>1.0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5.0</v>
      </c>
      <c r="E11" s="26" t="s">
        <v>24</v>
      </c>
      <c r="F11" s="27" t="str">
        <f>(C8)</f>
        <v>30/54</v>
      </c>
    </row>
    <row r="12" ht="14.25" customHeight="1">
      <c r="A12" s="24" t="s">
        <v>25</v>
      </c>
      <c r="B12" s="25">
        <v>7.0</v>
      </c>
      <c r="E12" s="26" t="s">
        <v>26</v>
      </c>
      <c r="F12" s="27" t="str">
        <f>(B17)</f>
        <v>26/46</v>
      </c>
    </row>
    <row r="13" ht="14.25" customHeight="1">
      <c r="A13" s="24" t="s">
        <v>27</v>
      </c>
      <c r="B13" s="25">
        <v>5.0</v>
      </c>
      <c r="E13" s="28" t="s">
        <v>28</v>
      </c>
      <c r="F13" s="29" t="str">
        <f>(VALUE(LEFT(F11,FIND("/",F11)-1)) + VALUE(LEFT(F12,FIND("/",F12)-1))) &amp; "/100"</f>
        <v>56/100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4.0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26/46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1C0A7DE-26E5-40BB-B085-C5C4DDC0C9B3}" filter="1" showAutoFilter="1">
      <autoFilter ref="$E$2:$F$7"/>
      <extLst>
        <ext uri="GoogleSheetsCustomDataVersion1">
          <go:sheetsCustomData xmlns:go="http://customooxmlschemas.google.com/" filterViewId="1316357863"/>
        </ext>
      </extLst>
    </customSheetView>
    <customSheetView guid="{EE40829C-65BB-4E41-B9CC-F475B43E74AE}" filter="1" showAutoFilter="1">
      <autoFilter ref="$A$2:$C$8"/>
      <extLst>
        <ext uri="GoogleSheetsCustomDataVersion1">
          <go:sheetsCustomData xmlns:go="http://customooxmlschemas.google.com/" filterViewId="823716995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2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116</v>
      </c>
      <c r="C3" s="11">
        <f t="shared" ref="C3:C7" si="1">IF(TRIM(B3)="","",(LEN(B3)-LEN(SUBSTITUTE(B3,",",""))+1) * VLOOKUP(A3,$E$3:$F$7,2,FALSE))</f>
        <v>12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118</v>
      </c>
      <c r="C4" s="11">
        <f t="shared" si="1"/>
        <v>12</v>
      </c>
      <c r="E4" s="12" t="s">
        <v>12</v>
      </c>
      <c r="F4" s="13">
        <v>2.0</v>
      </c>
    </row>
    <row r="5" ht="14.25" customHeight="1">
      <c r="A5" s="8" t="s">
        <v>14</v>
      </c>
      <c r="B5" s="38" t="s">
        <v>119</v>
      </c>
      <c r="C5" s="11">
        <f t="shared" si="1"/>
        <v>6</v>
      </c>
      <c r="E5" s="12" t="s">
        <v>14</v>
      </c>
      <c r="F5" s="13">
        <v>1.0</v>
      </c>
    </row>
    <row r="6" ht="14.25" customHeight="1">
      <c r="A6" s="8" t="s">
        <v>17</v>
      </c>
      <c r="B6" s="37" t="s">
        <v>120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30/54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2.0</v>
      </c>
      <c r="E11" s="26" t="s">
        <v>24</v>
      </c>
      <c r="F11" s="27" t="str">
        <f>(C8)</f>
        <v>30/54</v>
      </c>
    </row>
    <row r="12" ht="14.25" customHeight="1">
      <c r="A12" s="24" t="s">
        <v>25</v>
      </c>
      <c r="B12" s="25">
        <v>9.0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9.0</v>
      </c>
      <c r="E13" s="28" t="s">
        <v>28</v>
      </c>
      <c r="F13" s="29" t="str">
        <f>(VALUE(LEFT(F11,FIND("/",F11)-1)) + VALUE(LEFT(F12,FIND("/",F12)-1))) &amp; "/100"</f>
        <v>61/100</v>
      </c>
    </row>
    <row r="14" ht="14.25" customHeight="1">
      <c r="A14" s="24" t="s">
        <v>29</v>
      </c>
      <c r="B14" s="25">
        <v>9.0</v>
      </c>
    </row>
    <row r="15" ht="14.25" customHeight="1">
      <c r="A15" s="24" t="s">
        <v>30</v>
      </c>
      <c r="B15" s="25">
        <v>2.0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9CE8B42A-F154-48E5-9362-C8656844455B}" filter="1" showAutoFilter="1">
      <autoFilter ref="$A$2:$C$8"/>
      <extLst>
        <ext uri="GoogleSheetsCustomDataVersion1">
          <go:sheetsCustomData xmlns:go="http://customooxmlschemas.google.com/" filterViewId="862707800"/>
        </ext>
      </extLst>
    </customSheetView>
    <customSheetView guid="{F6015004-40AE-4A57-B1AC-EC50A6136621}" filter="1" showAutoFilter="1">
      <autoFilter ref="$E$2:$F$7"/>
      <extLst>
        <ext uri="GoogleSheetsCustomDataVersion1">
          <go:sheetsCustomData xmlns:go="http://customooxmlschemas.google.com/" filterViewId="995631956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6.5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121</v>
      </c>
      <c r="C3" s="11">
        <f t="shared" ref="C3:C7" si="1">IF(TRIM(B3)="","",(LEN(B3)-LEN(SUBSTITUTE(B3,",",""))+1) * VLOOKUP(A3,$E$3:$F$7,2,FALSE))</f>
        <v>33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122</v>
      </c>
      <c r="C4" s="11">
        <f t="shared" si="1"/>
        <v>8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123</v>
      </c>
      <c r="C5" s="11">
        <f t="shared" si="1"/>
        <v>2</v>
      </c>
      <c r="E5" s="12" t="s">
        <v>14</v>
      </c>
      <c r="F5" s="13">
        <v>1.0</v>
      </c>
    </row>
    <row r="6" ht="14.25" customHeight="1">
      <c r="A6" s="8" t="s">
        <v>17</v>
      </c>
      <c r="B6" s="10">
        <v>9.0</v>
      </c>
      <c r="C6" s="11">
        <f t="shared" si="1"/>
        <v>0</v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43/54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7.0</v>
      </c>
      <c r="E11" s="26" t="s">
        <v>24</v>
      </c>
      <c r="F11" s="27" t="str">
        <f>(C8)</f>
        <v>43/54</v>
      </c>
    </row>
    <row r="12" ht="14.25" customHeight="1">
      <c r="A12" s="24" t="s">
        <v>25</v>
      </c>
      <c r="B12" s="25">
        <v>8.0</v>
      </c>
      <c r="E12" s="26" t="s">
        <v>26</v>
      </c>
      <c r="F12" s="27" t="str">
        <f>(B17)</f>
        <v>39/46</v>
      </c>
    </row>
    <row r="13" ht="14.25" customHeight="1">
      <c r="A13" s="24" t="s">
        <v>27</v>
      </c>
      <c r="B13" s="25">
        <v>7.0</v>
      </c>
      <c r="E13" s="28" t="s">
        <v>28</v>
      </c>
      <c r="F13" s="29" t="str">
        <f>(VALUE(LEFT(F11,FIND("/",F11)-1)) + VALUE(LEFT(F12,FIND("/",F12)-1))) &amp; "/100"</f>
        <v>82/100</v>
      </c>
    </row>
    <row r="14" ht="14.25" customHeight="1">
      <c r="A14" s="24" t="s">
        <v>29</v>
      </c>
      <c r="B14" s="25">
        <v>8.0</v>
      </c>
    </row>
    <row r="15" ht="14.25" customHeight="1">
      <c r="A15" s="24" t="s">
        <v>30</v>
      </c>
      <c r="B15" s="25">
        <v>9.0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39/46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A92A60B9-F2F8-4B85-9B23-633A1E054FD2}" filter="1" showAutoFilter="1">
      <autoFilter ref="$A$2:$C$8"/>
      <extLst>
        <ext uri="GoogleSheetsCustomDataVersion1">
          <go:sheetsCustomData xmlns:go="http://customooxmlschemas.google.com/" filterViewId="1359970292"/>
        </ext>
      </extLst>
    </customSheetView>
    <customSheetView guid="{24A3D83E-1505-4A36-80A7-A2121CA0E816}" filter="1" showAutoFilter="1">
      <autoFilter ref="$E$2:$F$7"/>
      <extLst>
        <ext uri="GoogleSheetsCustomDataVersion1">
          <go:sheetsCustomData xmlns:go="http://customooxmlschemas.google.com/" filterViewId="1775206843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22.88"/>
    <col customWidth="1" min="3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35" t="s">
        <v>125</v>
      </c>
      <c r="C3" s="11">
        <f t="shared" ref="C3:C7" si="1">IF(TRIM(B3)="","",(LEN(B3)-LEN(SUBSTITUTE(B3,",",""))+1) * VLOOKUP(A3,$E$3:$F$7,2,FALSE))</f>
        <v>18</v>
      </c>
      <c r="E3" s="12" t="s">
        <v>8</v>
      </c>
      <c r="F3" s="13">
        <v>3.0</v>
      </c>
    </row>
    <row r="4" ht="14.25" customHeight="1">
      <c r="A4" s="8" t="s">
        <v>12</v>
      </c>
      <c r="B4" s="35" t="s">
        <v>126</v>
      </c>
      <c r="C4" s="11">
        <f t="shared" si="1"/>
        <v>20</v>
      </c>
      <c r="E4" s="12" t="s">
        <v>12</v>
      </c>
      <c r="F4" s="13">
        <v>2.0</v>
      </c>
    </row>
    <row r="5" ht="14.25" customHeight="1">
      <c r="A5" s="8" t="s">
        <v>14</v>
      </c>
      <c r="B5" s="35" t="s">
        <v>127</v>
      </c>
      <c r="C5" s="11">
        <f t="shared" si="1"/>
        <v>2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/>
      <c r="C7" s="11" t="str">
        <f t="shared" si="1"/>
        <v/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40/54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8.0</v>
      </c>
      <c r="E11" s="26" t="s">
        <v>24</v>
      </c>
      <c r="F11" s="27" t="str">
        <f>(C8)</f>
        <v>40/54</v>
      </c>
    </row>
    <row r="12" ht="14.25" customHeight="1">
      <c r="A12" s="24" t="s">
        <v>25</v>
      </c>
      <c r="B12" s="25">
        <v>4.0</v>
      </c>
      <c r="E12" s="26" t="s">
        <v>26</v>
      </c>
      <c r="F12" s="27" t="str">
        <f>(B17)</f>
        <v>31/46</v>
      </c>
    </row>
    <row r="13" ht="14.25" customHeight="1">
      <c r="A13" s="24" t="s">
        <v>27</v>
      </c>
      <c r="B13" s="25">
        <v>4.0</v>
      </c>
      <c r="E13" s="28" t="s">
        <v>28</v>
      </c>
      <c r="F13" s="29" t="str">
        <f>(VALUE(LEFT(F11,FIND("/",F11)-1)) + VALUE(LEFT(F12,FIND("/",F12)-1))) &amp; "/100"</f>
        <v>71/100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9.0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31/46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42010159-DF8B-4C8B-9F08-D4859ECA4034}" filter="1" showAutoFilter="1">
      <autoFilter ref="$E$2:$F$7"/>
      <extLst>
        <ext uri="GoogleSheetsCustomDataVersion1">
          <go:sheetsCustomData xmlns:go="http://customooxmlschemas.google.com/" filterViewId="2112116092"/>
        </ext>
      </extLst>
    </customSheetView>
    <customSheetView guid="{362EFB3B-0A1C-4391-931F-582F8EB67F1E}" filter="1" showAutoFilter="1">
      <autoFilter ref="$A$2:$C$8"/>
      <extLst>
        <ext uri="GoogleSheetsCustomDataVersion1">
          <go:sheetsCustomData xmlns:go="http://customooxmlschemas.google.com/" filterViewId="690851242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130</v>
      </c>
      <c r="C3" s="11">
        <f t="shared" ref="C3:C7" si="1">IF(TRIM(B3)="","",(LEN(B3)-LEN(SUBSTITUTE(B3,",",""))+1) * VLOOKUP(A3,$E$3:$F$7,2,FALSE))</f>
        <v>42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131</v>
      </c>
      <c r="C4" s="11">
        <f t="shared" si="1"/>
        <v>6</v>
      </c>
      <c r="E4" s="12" t="s">
        <v>12</v>
      </c>
      <c r="F4" s="13">
        <v>2.0</v>
      </c>
    </row>
    <row r="5" ht="14.25" customHeight="1">
      <c r="A5" s="8" t="s">
        <v>14</v>
      </c>
      <c r="B5" s="10"/>
      <c r="C5" s="11" t="str">
        <f t="shared" si="1"/>
        <v/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>
        <v>12.0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"/54"</f>
        <v>47/54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8.0</v>
      </c>
      <c r="E11" s="26" t="s">
        <v>24</v>
      </c>
      <c r="F11" s="27" t="str">
        <f>(C8)</f>
        <v>47/54</v>
      </c>
    </row>
    <row r="12" ht="14.25" customHeight="1">
      <c r="A12" s="24" t="s">
        <v>25</v>
      </c>
      <c r="B12" s="25">
        <v>6.0</v>
      </c>
      <c r="E12" s="26" t="s">
        <v>26</v>
      </c>
      <c r="F12" s="27" t="str">
        <f>(B17)</f>
        <v>36/46</v>
      </c>
    </row>
    <row r="13" ht="14.25" customHeight="1">
      <c r="A13" s="24" t="s">
        <v>27</v>
      </c>
      <c r="B13" s="25">
        <v>8.0</v>
      </c>
      <c r="E13" s="28" t="s">
        <v>28</v>
      </c>
      <c r="F13" s="29" t="str">
        <f>(VALUE(LEFT(F11,FIND("/",F11)-1)) + VALUE(LEFT(F12,FIND("/",F12)-1))) &amp; "/100"</f>
        <v>83/100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8.0</v>
      </c>
    </row>
    <row r="16" ht="14.25" customHeight="1">
      <c r="A16" s="24" t="s">
        <v>31</v>
      </c>
      <c r="B16" s="31">
        <v>1.0</v>
      </c>
    </row>
    <row r="17" ht="14.25" customHeight="1">
      <c r="A17" s="32" t="s">
        <v>28</v>
      </c>
      <c r="B17" s="33" t="str">
        <f>SUM(B11:B16) &amp; "/46"</f>
        <v>36/46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5ECE9606-447D-44C2-8599-3E87FD24FA44}" filter="1" showAutoFilter="1">
      <autoFilter ref="$A$2:$C$8"/>
      <extLst>
        <ext uri="GoogleSheetsCustomDataVersion1">
          <go:sheetsCustomData xmlns:go="http://customooxmlschemas.google.com/" filterViewId="1566151239"/>
        </ext>
      </extLst>
    </customSheetView>
    <customSheetView guid="{5BEF52C2-DF4A-4017-ACCD-00F90AAE259F}" filter="1" showAutoFilter="1">
      <autoFilter ref="$E$2:$F$7"/>
      <extLst>
        <ext uri="GoogleSheetsCustomDataVersion1">
          <go:sheetsCustomData xmlns:go="http://customooxmlschemas.google.com/" filterViewId="2013013399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3" width="11.25"/>
    <col customWidth="1" min="4" max="4" width="8.63"/>
    <col customWidth="1" min="5" max="5" width="13.25"/>
    <col customWidth="1" min="6" max="6" width="17.13"/>
    <col customWidth="1" min="7" max="26" width="8.63"/>
  </cols>
  <sheetData>
    <row r="1" ht="14.25" customHeight="1">
      <c r="A1" s="1" t="s">
        <v>0</v>
      </c>
      <c r="E1" s="1" t="s">
        <v>2</v>
      </c>
    </row>
    <row r="2" ht="14.25" customHeight="1">
      <c r="A2" s="2" t="s">
        <v>3</v>
      </c>
      <c r="B2" s="4" t="s">
        <v>0</v>
      </c>
      <c r="C2" s="5" t="s">
        <v>4</v>
      </c>
      <c r="E2" s="6" t="s">
        <v>3</v>
      </c>
      <c r="F2" s="7" t="s">
        <v>7</v>
      </c>
    </row>
    <row r="3" ht="14.25" customHeight="1">
      <c r="A3" s="8" t="s">
        <v>8</v>
      </c>
      <c r="B3" s="10" t="s">
        <v>132</v>
      </c>
      <c r="C3" s="11">
        <f t="shared" ref="C3:C7" si="1">IF(TRIM(B3)="","",(LEN(B3)-LEN(SUBSTITUTE(B3,",",""))+1) * VLOOKUP(A3,$E$3:$F$7,2,FALSE))</f>
        <v>6</v>
      </c>
      <c r="E3" s="12" t="s">
        <v>8</v>
      </c>
      <c r="F3" s="13">
        <v>3.0</v>
      </c>
    </row>
    <row r="4" ht="14.25" customHeight="1">
      <c r="A4" s="8" t="s">
        <v>12</v>
      </c>
      <c r="B4" s="10" t="s">
        <v>133</v>
      </c>
      <c r="C4" s="11">
        <f t="shared" si="1"/>
        <v>6</v>
      </c>
      <c r="E4" s="12" t="s">
        <v>12</v>
      </c>
      <c r="F4" s="13">
        <v>2.0</v>
      </c>
    </row>
    <row r="5" ht="14.25" customHeight="1">
      <c r="A5" s="8" t="s">
        <v>14</v>
      </c>
      <c r="B5" s="10" t="s">
        <v>134</v>
      </c>
      <c r="C5" s="11">
        <f t="shared" si="1"/>
        <v>3</v>
      </c>
      <c r="E5" s="12" t="s">
        <v>14</v>
      </c>
      <c r="F5" s="13">
        <v>1.0</v>
      </c>
    </row>
    <row r="6" ht="14.25" customHeight="1">
      <c r="A6" s="8" t="s">
        <v>17</v>
      </c>
      <c r="B6" s="10"/>
      <c r="C6" s="11" t="str">
        <f t="shared" si="1"/>
        <v/>
      </c>
      <c r="E6" s="12" t="s">
        <v>17</v>
      </c>
      <c r="F6" s="13">
        <v>0.0</v>
      </c>
    </row>
    <row r="7" ht="14.25" customHeight="1">
      <c r="A7" s="15" t="s">
        <v>18</v>
      </c>
      <c r="B7" s="16">
        <v>2.0</v>
      </c>
      <c r="C7" s="11">
        <f t="shared" si="1"/>
        <v>-1</v>
      </c>
      <c r="E7" s="17" t="s">
        <v>18</v>
      </c>
      <c r="F7" s="18">
        <v>-1.0</v>
      </c>
    </row>
    <row r="8" ht="14.25" customHeight="1">
      <c r="A8" s="19" t="s">
        <v>20</v>
      </c>
      <c r="B8" s="20"/>
      <c r="C8" s="21" t="str">
        <f>SUM(C3:C7) &amp; "/27"</f>
        <v>14/27</v>
      </c>
    </row>
    <row r="9" ht="14.25" customHeight="1"/>
    <row r="10" ht="14.25" customHeight="1">
      <c r="A10" s="22" t="s">
        <v>21</v>
      </c>
      <c r="B10" s="23"/>
      <c r="E10" s="1" t="s">
        <v>22</v>
      </c>
    </row>
    <row r="11" ht="14.25" customHeight="1">
      <c r="A11" s="24" t="s">
        <v>23</v>
      </c>
      <c r="B11" s="25">
        <v>2.0</v>
      </c>
      <c r="E11" s="26" t="s">
        <v>24</v>
      </c>
      <c r="F11" s="27" t="str">
        <f>(C8)</f>
        <v>14/27</v>
      </c>
    </row>
    <row r="12" ht="14.25" customHeight="1">
      <c r="A12" s="24" t="s">
        <v>25</v>
      </c>
      <c r="B12" s="25">
        <v>8.0</v>
      </c>
      <c r="E12" s="26" t="s">
        <v>26</v>
      </c>
      <c r="F12" s="27" t="str">
        <f>(B17)</f>
        <v>26/46</v>
      </c>
    </row>
    <row r="13" ht="14.25" customHeight="1">
      <c r="A13" s="24" t="s">
        <v>27</v>
      </c>
      <c r="B13" s="25">
        <v>9.0</v>
      </c>
      <c r="E13" s="28" t="s">
        <v>28</v>
      </c>
      <c r="F13" s="29" t="str">
        <f>(VALUE(LEFT(F11,FIND("/",F11)-1)) + VALUE(LEFT(F12,FIND("/",F12)-1))) &amp; "/73"</f>
        <v>40/73</v>
      </c>
    </row>
    <row r="14" ht="14.25" customHeight="1">
      <c r="A14" s="24" t="s">
        <v>29</v>
      </c>
      <c r="B14" s="25">
        <v>5.0</v>
      </c>
    </row>
    <row r="15" ht="14.25" customHeight="1">
      <c r="A15" s="24" t="s">
        <v>30</v>
      </c>
      <c r="B15" s="25">
        <v>2.0</v>
      </c>
    </row>
    <row r="16" ht="14.25" customHeight="1">
      <c r="A16" s="24" t="s">
        <v>31</v>
      </c>
      <c r="B16" s="31">
        <v>0.0</v>
      </c>
    </row>
    <row r="17" ht="14.25" customHeight="1">
      <c r="A17" s="32" t="s">
        <v>28</v>
      </c>
      <c r="B17" s="33" t="str">
        <f>SUM(B11:B16) &amp; "/46"</f>
        <v>26/46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3627D5A0-0F92-41EA-8F88-DB4C9D103CC6}" filter="1" showAutoFilter="1">
      <autoFilter ref="$A$2:$C$8"/>
      <extLst>
        <ext uri="GoogleSheetsCustomDataVersion1">
          <go:sheetsCustomData xmlns:go="http://customooxmlschemas.google.com/" filterViewId="206516426"/>
        </ext>
      </extLst>
    </customSheetView>
    <customSheetView guid="{F5305A2C-AE05-4AB2-9915-3E9F1C8FE26A}" filter="1" showAutoFilter="1">
      <autoFilter ref="$E$2:$F$7"/>
      <extLst>
        <ext uri="GoogleSheetsCustomDataVersion1">
          <go:sheetsCustomData xmlns:go="http://customooxmlschemas.google.com/" filterViewId="334755327"/>
        </ext>
      </extLst>
    </customSheetView>
  </customSheetViews>
  <mergeCells count="4">
    <mergeCell ref="A1:C1"/>
    <mergeCell ref="E1:F1"/>
    <mergeCell ref="A10:B10"/>
    <mergeCell ref="E10:F1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2026-04-14T10:00:52Z</dcterms:created>
  <dc:creator>Samuel Lewis</dc:creator>
</cp:coreProperties>
</file>